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dpmg\MDP Dropbox\HR\07 - Excel VPA Forms\"/>
    </mc:Choice>
  </mc:AlternateContent>
  <xr:revisionPtr revIDLastSave="0" documentId="13_ncr:1_{B70C0045-DC61-4E6D-9D41-5806C3AB812B}" xr6:coauthVersionLast="47" xr6:coauthVersionMax="47" xr10:uidLastSave="{00000000-0000-0000-0000-000000000000}"/>
  <bookViews>
    <workbookView minimized="1" xWindow="465" yWindow="360" windowWidth="27345" windowHeight="15570" xr2:uid="{7A0C6BC2-D10A-4886-ABB3-20306B974330}"/>
  </bookViews>
  <sheets>
    <sheet name="WIP" sheetId="1" r:id="rId1"/>
    <sheet name="VA  Counties" sheetId="2" state="hidden" r:id="rId2"/>
  </sheets>
  <definedNames>
    <definedName name="goLookNew">Table1[Combined Text Formula]</definedName>
    <definedName name="NameList">WIP!$B$7:$B$873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4" i="2" l="1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<sst xmlns="http://schemas.openxmlformats.org/spreadsheetml/2006/main" count="272" uniqueCount="230">
  <si>
    <t>Project Name</t>
  </si>
  <si>
    <t>Estimator</t>
  </si>
  <si>
    <t>Address</t>
  </si>
  <si>
    <t>City</t>
  </si>
  <si>
    <t>State</t>
  </si>
  <si>
    <t xml:space="preserve">Bonded </t>
  </si>
  <si>
    <t>Original Contract Amount &amp; Cos</t>
  </si>
  <si>
    <t>Billings to Date</t>
  </si>
  <si>
    <t>Zip</t>
  </si>
  <si>
    <t>Submitted by</t>
  </si>
  <si>
    <t>Open</t>
  </si>
  <si>
    <t>Yes</t>
  </si>
  <si>
    <t>Kayla</t>
  </si>
  <si>
    <t>No</t>
  </si>
  <si>
    <t>Status</t>
  </si>
  <si>
    <t>WS</t>
  </si>
  <si>
    <t>Incurred Cost</t>
  </si>
  <si>
    <t>Cost to Complete</t>
  </si>
  <si>
    <t>MD</t>
  </si>
  <si>
    <t>County</t>
  </si>
  <si>
    <t>Percentage</t>
  </si>
  <si>
    <t>Combined Text Formula</t>
  </si>
  <si>
    <t>Accomack County</t>
  </si>
  <si>
    <t>Albemarle County</t>
  </si>
  <si>
    <t>Alleghany County</t>
  </si>
  <si>
    <t>Amelia County</t>
  </si>
  <si>
    <t>Amherst County</t>
  </si>
  <si>
    <t>Appomattox County</t>
  </si>
  <si>
    <t>Arlington County</t>
  </si>
  <si>
    <t>Augusta County</t>
  </si>
  <si>
    <t>Bath County</t>
  </si>
  <si>
    <t>Bedford County</t>
  </si>
  <si>
    <t>Bland County</t>
  </si>
  <si>
    <t>Botetourt County</t>
  </si>
  <si>
    <t>Brunswick County</t>
  </si>
  <si>
    <t>Buchanan County</t>
  </si>
  <si>
    <t>Buckingham County</t>
  </si>
  <si>
    <t>Campbell County</t>
  </si>
  <si>
    <t>Caroline County</t>
  </si>
  <si>
    <t>Carroll County</t>
  </si>
  <si>
    <t>Charles City County</t>
  </si>
  <si>
    <t>Charlotte County</t>
  </si>
  <si>
    <t>Chesterfield County</t>
  </si>
  <si>
    <t>Clarke County</t>
  </si>
  <si>
    <t>Craig County</t>
  </si>
  <si>
    <t>Culpeper County</t>
  </si>
  <si>
    <t>Cumberland County</t>
  </si>
  <si>
    <t>Dickenson County</t>
  </si>
  <si>
    <t>Dinwiddie County</t>
  </si>
  <si>
    <t>Essex County</t>
  </si>
  <si>
    <t>Fairfax County</t>
  </si>
  <si>
    <t>Fauquier County</t>
  </si>
  <si>
    <t>Floyd County</t>
  </si>
  <si>
    <t>Fluvanna County</t>
  </si>
  <si>
    <t>Franklin County</t>
  </si>
  <si>
    <t>Frederick County</t>
  </si>
  <si>
    <t>Giles County</t>
  </si>
  <si>
    <t>Gloucester County</t>
  </si>
  <si>
    <t>Goochland County</t>
  </si>
  <si>
    <t>Grayson County</t>
  </si>
  <si>
    <t>Greene County</t>
  </si>
  <si>
    <t>Greensville County</t>
  </si>
  <si>
    <t>Halifax County</t>
  </si>
  <si>
    <t>Hanover County</t>
  </si>
  <si>
    <t>Henrico County</t>
  </si>
  <si>
    <t>Henry County</t>
  </si>
  <si>
    <t>Highland County</t>
  </si>
  <si>
    <t>Isle of Wight County</t>
  </si>
  <si>
    <t>James City County</t>
  </si>
  <si>
    <t>King and Queen County</t>
  </si>
  <si>
    <t>King George County</t>
  </si>
  <si>
    <t>King William County</t>
  </si>
  <si>
    <t>Lancaster County</t>
  </si>
  <si>
    <t>Lee County</t>
  </si>
  <si>
    <t>Loudoun County</t>
  </si>
  <si>
    <t>Louisa County</t>
  </si>
  <si>
    <t>Lunenburg County</t>
  </si>
  <si>
    <t>Madison County</t>
  </si>
  <si>
    <t>Mathews County</t>
  </si>
  <si>
    <t>Mecklenburg County</t>
  </si>
  <si>
    <t>Middlesex County</t>
  </si>
  <si>
    <t>Montgomery County</t>
  </si>
  <si>
    <t>Nelson County</t>
  </si>
  <si>
    <t>New Kent County</t>
  </si>
  <si>
    <t>Northampton County</t>
  </si>
  <si>
    <t>Northumberland County</t>
  </si>
  <si>
    <t>Nottoway County</t>
  </si>
  <si>
    <t>Orange County</t>
  </si>
  <si>
    <t>Page County</t>
  </si>
  <si>
    <t>Patrick County</t>
  </si>
  <si>
    <t>Pittsylvania County</t>
  </si>
  <si>
    <t>Powhatan County</t>
  </si>
  <si>
    <t>Prince Edward County</t>
  </si>
  <si>
    <t>Prince George County</t>
  </si>
  <si>
    <t>Prince William County</t>
  </si>
  <si>
    <t>Pulaski County</t>
  </si>
  <si>
    <t>Rappahannock County</t>
  </si>
  <si>
    <t>Richmond County</t>
  </si>
  <si>
    <t>Roanoke County</t>
  </si>
  <si>
    <t>Rockbridge County</t>
  </si>
  <si>
    <t>Rockingham County</t>
  </si>
  <si>
    <t>Russell County</t>
  </si>
  <si>
    <t>Scott County</t>
  </si>
  <si>
    <t>Shenandoah County</t>
  </si>
  <si>
    <t>Smyth County</t>
  </si>
  <si>
    <t>Southampton County</t>
  </si>
  <si>
    <t>Spotsylvania County</t>
  </si>
  <si>
    <t>Stafford County</t>
  </si>
  <si>
    <t>Surry County</t>
  </si>
  <si>
    <t>Sussex County</t>
  </si>
  <si>
    <t>Tazewell County</t>
  </si>
  <si>
    <t>Warren County</t>
  </si>
  <si>
    <t>Washington County</t>
  </si>
  <si>
    <t>Westmoreland County</t>
  </si>
  <si>
    <t>Wise County</t>
  </si>
  <si>
    <t>Wythe County</t>
  </si>
  <si>
    <t>York County</t>
  </si>
  <si>
    <t>Alexandria City</t>
  </si>
  <si>
    <t>Bristol City</t>
  </si>
  <si>
    <t>Buena Vista City</t>
  </si>
  <si>
    <t>Charlottesville City</t>
  </si>
  <si>
    <t>Chesapeake City</t>
  </si>
  <si>
    <t>Colonial Heights City</t>
  </si>
  <si>
    <t>Covington City</t>
  </si>
  <si>
    <t>Danville City</t>
  </si>
  <si>
    <t>Emporia City</t>
  </si>
  <si>
    <t>Fairfax City</t>
  </si>
  <si>
    <t>Falls Church City</t>
  </si>
  <si>
    <t>Franklin City</t>
  </si>
  <si>
    <t>Fredericksburg City</t>
  </si>
  <si>
    <t>Galax City</t>
  </si>
  <si>
    <t>Hampton City</t>
  </si>
  <si>
    <t>Harrisonburg City</t>
  </si>
  <si>
    <t>Hopewell City</t>
  </si>
  <si>
    <t>Lexington City</t>
  </si>
  <si>
    <t>Lynchburg City</t>
  </si>
  <si>
    <t>Manassas City</t>
  </si>
  <si>
    <t>Manassas Park City</t>
  </si>
  <si>
    <t>Martinsville City</t>
  </si>
  <si>
    <t>Newport News City</t>
  </si>
  <si>
    <t>Norfolk City</t>
  </si>
  <si>
    <t>Norton City</t>
  </si>
  <si>
    <t>Petersburg City</t>
  </si>
  <si>
    <t>Poquoson City</t>
  </si>
  <si>
    <t>Portsmouth City</t>
  </si>
  <si>
    <t>Radford City</t>
  </si>
  <si>
    <t>Richmond City</t>
  </si>
  <si>
    <t>Roanoke City</t>
  </si>
  <si>
    <t>Salem City</t>
  </si>
  <si>
    <t>Staunton City</t>
  </si>
  <si>
    <t>Suffolk City</t>
  </si>
  <si>
    <t>Virginia Beach City</t>
  </si>
  <si>
    <t>Waynesboro City</t>
  </si>
  <si>
    <t>Williamsburg City</t>
  </si>
  <si>
    <t>Winchester City</t>
  </si>
  <si>
    <t>Kerri</t>
  </si>
  <si>
    <t>VA</t>
  </si>
  <si>
    <t>VA County</t>
  </si>
  <si>
    <t>Alexandria City - 6.00%</t>
  </si>
  <si>
    <t/>
  </si>
  <si>
    <t>Kata</t>
  </si>
  <si>
    <t>Albemarle County - 5.30%</t>
  </si>
  <si>
    <t>Sawsan</t>
  </si>
  <si>
    <t>Tony</t>
  </si>
  <si>
    <t>Original Estimated</t>
  </si>
  <si>
    <t>ABC Project</t>
  </si>
  <si>
    <t>$9,000.00</t>
  </si>
  <si>
    <t>$200.00</t>
  </si>
  <si>
    <t>$5,000.00</t>
  </si>
  <si>
    <t>ABC Street Rd.</t>
  </si>
  <si>
    <t>Accomack County - 5.30%</t>
  </si>
  <si>
    <t>001 Project</t>
  </si>
  <si>
    <t>001 Street Rd.</t>
  </si>
  <si>
    <t>BBC Project</t>
  </si>
  <si>
    <t>BBC Street</t>
  </si>
  <si>
    <t>Amelia County - 5.30%</t>
  </si>
  <si>
    <t>20001</t>
  </si>
  <si>
    <t xml:space="preserve">700 Project </t>
  </si>
  <si>
    <t xml:space="preserve">700 Street Rd. </t>
  </si>
  <si>
    <t>ABCD Band Project</t>
  </si>
  <si>
    <t>Alexandria</t>
  </si>
  <si>
    <t>20005</t>
  </si>
  <si>
    <t>20004</t>
  </si>
  <si>
    <t>$70,000.00</t>
  </si>
  <si>
    <t>$60,000.00</t>
  </si>
  <si>
    <t>$4,000.00</t>
  </si>
  <si>
    <t>$11,000.00</t>
  </si>
  <si>
    <t>$235.00</t>
  </si>
  <si>
    <t>$100,000.00</t>
  </si>
  <si>
    <t>20002</t>
  </si>
  <si>
    <t>$500.00</t>
  </si>
  <si>
    <t>Blah Blah Street Ave.</t>
  </si>
  <si>
    <t>20003</t>
  </si>
  <si>
    <t>$89,000.00</t>
  </si>
  <si>
    <t>$40,000.00</t>
  </si>
  <si>
    <t>$632.99</t>
  </si>
  <si>
    <t>$85,000.00</t>
  </si>
  <si>
    <t>AAA Triple A Project</t>
  </si>
  <si>
    <t>50 Campus Drive</t>
  </si>
  <si>
    <t>20740</t>
  </si>
  <si>
    <t>Fairfax County - 6.00%</t>
  </si>
  <si>
    <t>$4,500.00</t>
  </si>
  <si>
    <t>$700.00</t>
  </si>
  <si>
    <t>$20,000.00</t>
  </si>
  <si>
    <t>$90,000.00</t>
  </si>
  <si>
    <t>$6,000.00</t>
  </si>
  <si>
    <t>BAC Project</t>
  </si>
  <si>
    <t>8280 Patuxent Range Road</t>
  </si>
  <si>
    <t>Franklin County - 5.30%</t>
  </si>
  <si>
    <t>Sarah-12/21/2023, 07:01 PM</t>
  </si>
  <si>
    <t>Sarah-12/21/2023, 07:08 PM</t>
  </si>
  <si>
    <t>Sarah-12/21/2023, 07:29 PM</t>
  </si>
  <si>
    <t>Sarah-12/21/2023, 07:12 PM</t>
  </si>
  <si>
    <t>Sarah-12/21/2023, 07:10 PM</t>
  </si>
  <si>
    <t>Sarah-12/21/2023, 07:02 PM</t>
  </si>
  <si>
    <t>Frederick</t>
  </si>
  <si>
    <t>Amelia</t>
  </si>
  <si>
    <t xml:space="preserve">Fairfax </t>
  </si>
  <si>
    <t>Accomack City</t>
  </si>
  <si>
    <t>Franklin</t>
  </si>
  <si>
    <t>Sarah-12/27/2023, 08:50 AM</t>
  </si>
  <si>
    <t>1010 Brey Krause Project</t>
  </si>
  <si>
    <t>1209 West Lehigh Street</t>
  </si>
  <si>
    <t>Sarah-02/21/2024, 11:31 AM</t>
  </si>
  <si>
    <t>20912</t>
  </si>
  <si>
    <t>400000</t>
  </si>
  <si>
    <t>200000</t>
  </si>
  <si>
    <t>$0.00</t>
  </si>
  <si>
    <t>$1,000.00</t>
  </si>
  <si>
    <t>$200,000.00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</si>
</sst>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 vertical="center" wrapText="1"/>
    </xf>
    <xf numFmtId="164" fontId="3" fillId="0" borderId="3" xfId="1" applyNumberFormat="1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/>
    <xf numFmtId="0" fontId="4" fillId="0" borderId="4" xfId="0" applyFont="1" applyBorder="1" applyAlignment="1">
      <alignment wrapText="1"/>
    </xf>
    <xf numFmtId="164" fontId="4" fillId="0" borderId="1" xfId="1" applyNumberFormat="1" applyFont="1" applyBorder="1" applyAlignment="1">
      <alignment wrapText="1"/>
    </xf>
    <xf numFmtId="0" fontId="4" fillId="0" borderId="1" xfId="0" applyFont="1" applyBorder="1"/>
    <xf numFmtId="0" fontId="4" fillId="0" borderId="0" xfId="0" applyFont="1"/>
    <xf numFmtId="0" fontId="4" fillId="0" borderId="5" xfId="0" applyFont="1" applyBorder="1" applyAlignment="1">
      <alignment wrapText="1"/>
    </xf>
    <xf numFmtId="164" fontId="4" fillId="0" borderId="6" xfId="1" applyNumberFormat="1" applyFont="1" applyBorder="1" applyAlignment="1">
      <alignment wrapText="1"/>
    </xf>
    <xf numFmtId="0" fontId="4" fillId="0" borderId="6" xfId="0" applyFont="1" applyBorder="1"/>
    <xf numFmtId="0" fontId="4" fillId="0" borderId="0" xfId="0" applyFont="1" applyAlignment="1">
      <alignment wrapText="1"/>
    </xf>
    <xf numFmtId="164" fontId="4" fillId="0" borderId="0" xfId="1" applyNumberFormat="1" applyFont="1" applyAlignment="1">
      <alignment wrapText="1"/>
    </xf>
    <xf numFmtId="165" fontId="0" fillId="0" borderId="0" xfId="0" applyNumberFormat="1" applyAlignment="1">
      <alignment horizontal="right"/>
    </xf>
    <xf numFmtId="165" fontId="1" fillId="2" borderId="1" xfId="0" applyNumberFormat="1" applyFont="1" applyFill="1" applyBorder="1" applyAlignment="1">
      <alignment horizontal="right" vertical="center" wrapText="1"/>
    </xf>
    <xf numFmtId="165" fontId="1" fillId="2" borderId="1" xfId="0" applyNumberFormat="1" applyFont="1" applyFill="1" applyBorder="1" applyAlignment="1">
      <alignment horizontal="right" vertical="center"/>
    </xf>
    <xf numFmtId="165" fontId="0" fillId="0" borderId="1" xfId="0" applyNumberFormat="1" applyBorder="1" applyAlignment="1">
      <alignment horizontal="right"/>
    </xf>
    <xf numFmtId="0" fontId="0" fillId="0" borderId="0" xfId="0" applyAlignment="1">
      <alignment horizontal="right"/>
    </xf>
    <xf numFmtId="0" fontId="1" fillId="2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right"/>
    </xf>
    <xf numFmtId="0" fontId="1" fillId="2" borderId="1" xfId="0" applyFont="1" applyFill="1" applyBorder="1" applyAlignment="1">
      <alignment horizontal="right" vertical="center" wrapText="1"/>
    </xf>
  </cellXfs>
  <cellStyles count="2">
    <cellStyle name="Normal" xfId="0" builtinId="0"/>
    <cellStyle name="Percent" xfId="1" builtinId="5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0.0%"/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bottom style="thin">
          <color auto="1"/>
        </bottom>
      </border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2562226</xdr:colOff>
      <xdr:row>0</xdr:row>
      <xdr:rowOff>161925</xdr:rowOff>
    </xdr:from>
    <xdr:to>
      <xdr:col>7</xdr:col>
      <xdr:colOff>1533525</xdr:colOff>
      <xdr:row>4</xdr:row>
      <xdr:rowOff>342900</xdr:rowOff>
    </xdr:to>
    <xdr:sp macro="[0]!user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F83B40-0B2D-13EB-50E1-A482495EF9B8}"/>
            </a:ext>
          </a:extLst>
        </xdr:cNvPr>
        <xdr:cNvSpPr/>
      </xdr:nvSpPr>
      <xdr:spPr>
        <a:xfrm>
          <a:off x="3028951" y="161925"/>
          <a:ext cx="6124574" cy="942975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46000">
              <a:schemeClr val="accent6">
                <a:lumMod val="95000"/>
                <a:lumOff val="5000"/>
              </a:schemeClr>
            </a:gs>
            <a:gs pos="100000">
              <a:srgbClr val="00B050"/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66675</xdr:colOff>
      <xdr:row>1</xdr:row>
      <xdr:rowOff>0</xdr:rowOff>
    </xdr:from>
    <xdr:to>
      <xdr:col>7</xdr:col>
      <xdr:colOff>1247775</xdr:colOff>
      <xdr:row>4</xdr:row>
      <xdr:rowOff>314325</xdr:rowOff>
    </xdr:to>
    <xdr:sp macro="[0]!user_form" textlink="">
      <xdr:nvSpPr>
        <xdr:cNvPr id="10" name="TextBox 9">
          <a:extLst>
            <a:ext uri="{FF2B5EF4-FFF2-40B4-BE49-F238E27FC236}">
              <a16:creationId xmlns:a16="http://schemas.microsoft.com/office/drawing/2014/main" id="{C6119A26-A9FA-09B7-7B7C-6CA70294E507}"/>
            </a:ext>
          </a:extLst>
        </xdr:cNvPr>
        <xdr:cNvSpPr txBox="1"/>
      </xdr:nvSpPr>
      <xdr:spPr>
        <a:xfrm>
          <a:off x="3305175" y="190500"/>
          <a:ext cx="5562600" cy="88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spc="140" baseline="0">
              <a:ln>
                <a:noFill/>
              </a:ln>
              <a:solidFill>
                <a:schemeClr val="accent1">
                  <a:lumMod val="50000"/>
                </a:schemeClr>
              </a:solidFill>
            </a:rPr>
            <a:t>START</a:t>
          </a:r>
        </a:p>
        <a:p>
          <a:pPr algn="ctr"/>
          <a:r>
            <a:rPr lang="en-US" sz="2200" b="1" spc="140" baseline="0">
              <a:ln>
                <a:noFill/>
              </a:ln>
              <a:solidFill>
                <a:schemeClr val="bg1"/>
              </a:solidFill>
            </a:rPr>
            <a:t>WIP ENTRY FORM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70E6DD-C4D0-4E4F-80A6-BAC1202916E1}" name="Table1" displayName="Table1" ref="A1:C134" totalsRowShown="0" tableBorderDxfId="3">
  <autoFilter ref="A1:C134" xr:uid="{6365F990-9C7F-4DF9-A232-64EBDA6FF9D0}"/>
  <tableColumns count="3">
    <tableColumn id="1" xr3:uid="{BA70645A-9404-48D9-9F14-B61C1640BE5B}" name="County" dataDxfId="2"/>
    <tableColumn id="2" xr3:uid="{578FE06E-704B-4A74-8866-AE7E08A641A4}" name="Percentage" dataDxfId="1" dataCellStyle="Percent"/>
    <tableColumn id="3" xr3:uid="{BAACFB9E-DF37-4588-9164-0F66BFE2C5C1}" name="Combined Text Formula" dataDxfId="0">
      <calculatedColumnFormula>_xlfn.CONCAT(A2&amp;" - "&amp;TEXT(B2,"0.00%"))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EE2D9-94FC-437C-839A-2E0CFB1E1BCD}">
  <sheetPr codeName="Sheet1">
    <pageSetUpPr autoPageBreaks="0"/>
  </sheetPr>
  <dimension ref="A5:P34"/>
  <sheetViews>
    <sheetView tabSelected="1" zoomScaleNormal="100" workbookViewId="0">
      <selection activeCell="C19" sqref="C19"/>
    </sheetView>
  </sheetViews>
  <sheetFormatPr defaultRowHeight="15" x14ac:dyDescent="0.25"/>
  <cols>
    <col min="1" max="1" width="7" customWidth="1"/>
    <col min="2" max="2" width="41.5703125" customWidth="1"/>
    <col min="3" max="3" width="9.42578125" bestFit="1" customWidth="1"/>
    <col min="4" max="4" width="27.28515625" customWidth="1"/>
    <col min="5" max="5" width="15.42578125" customWidth="1"/>
    <col min="6" max="6" width="5.5703125" bestFit="1" customWidth="1"/>
    <col min="7" max="7" width="8" style="22" bestFit="1" customWidth="1"/>
    <col min="8" max="8" width="24.42578125" customWidth="1"/>
    <col min="9" max="9" width="8.28515625" bestFit="1" customWidth="1"/>
    <col min="10" max="10" width="6" customWidth="1"/>
    <col min="11" max="12" width="17.7109375" style="18" customWidth="1"/>
    <col min="13" max="13" width="13.7109375" style="18" customWidth="1"/>
    <col min="14" max="14" width="13.42578125" style="18" customWidth="1"/>
    <col min="15" max="15" width="15.140625" style="18" customWidth="1"/>
    <col min="16" max="16" width="29.85546875" style="22" customWidth="1"/>
    <col min="17" max="17" width="9.140625" customWidth="1"/>
  </cols>
  <sheetData>
    <row r="5" spans="1:16" s="2" customFormat="1" ht="48.75" customHeight="1" x14ac:dyDescent="0.25">
      <c r="G5" s="22"/>
      <c r="K5" s="18"/>
      <c r="L5" s="18"/>
      <c r="M5" s="18"/>
      <c r="N5" s="18"/>
      <c r="O5" s="18"/>
      <c r="P5" s="22"/>
    </row>
    <row r="6" spans="1:16" s="4" customFormat="1" ht="30" x14ac:dyDescent="0.25">
      <c r="A6" s="3" t="s">
        <v>14</v>
      </c>
      <c r="B6" s="3" t="s">
        <v>0</v>
      </c>
      <c r="C6" s="3" t="s">
        <v>1</v>
      </c>
      <c r="D6" s="3" t="s">
        <v>2</v>
      </c>
      <c r="E6" s="3" t="s">
        <v>3</v>
      </c>
      <c r="F6" s="3" t="s">
        <v>4</v>
      </c>
      <c r="G6" s="23" t="s">
        <v>8</v>
      </c>
      <c r="H6" s="3" t="s">
        <v>157</v>
      </c>
      <c r="I6" s="3" t="s">
        <v>5</v>
      </c>
      <c r="J6" s="3" t="s">
        <v>15</v>
      </c>
      <c r="K6" s="19" t="s">
        <v>6</v>
      </c>
      <c r="L6" s="19" t="s">
        <v>164</v>
      </c>
      <c r="M6" s="20" t="s">
        <v>7</v>
      </c>
      <c r="N6" s="19" t="s">
        <v>16</v>
      </c>
      <c r="O6" s="19" t="s">
        <v>17</v>
      </c>
      <c r="P6" s="25" t="s">
        <v>9</v>
      </c>
    </row>
    <row r="7" spans="1:16" x14ac:dyDescent="0.25">
      <c r="A7" s="1" t="s">
        <v>10</v>
      </c>
      <c r="B7" s="1" t="s">
        <v>171</v>
      </c>
      <c r="C7" s="1" t="s">
        <v>12</v>
      </c>
      <c r="D7" s="1" t="s">
        <v>172</v>
      </c>
      <c r="E7" s="1" t="s">
        <v>215</v>
      </c>
      <c r="F7" s="1" t="s">
        <v>18</v>
      </c>
      <c r="G7" s="24" t="s">
        <v>189</v>
      </c>
      <c r="H7" s="1" t="s">
        <v>161</v>
      </c>
      <c r="I7" s="1" t="s">
        <v>11</v>
      </c>
      <c r="J7" s="1" t="s">
        <v>11</v>
      </c>
      <c r="K7" s="21" t="s">
        <v>204</v>
      </c>
      <c r="L7" s="21" t="s">
        <v>168</v>
      </c>
      <c r="M7" s="21" t="s">
        <v>205</v>
      </c>
      <c r="N7" s="21" t="s">
        <v>190</v>
      </c>
      <c r="O7" s="21" t="s">
        <v>167</v>
      </c>
      <c r="P7" s="24" t="s">
        <v>209</v>
      </c>
    </row>
    <row r="8" spans="1:16" x14ac:dyDescent="0.25">
      <c r="A8" s="1" t="s">
        <v>10</v>
      </c>
      <c r="B8" s="1" t="s">
        <v>221</v>
      </c>
      <c r="C8" s="1" t="s">
        <v>160</v>
      </c>
      <c r="D8" s="1" t="s">
        <v>222</v>
      </c>
      <c r="E8" s="1" t="s">
        <v>180</v>
      </c>
      <c r="F8" s="1" t="s">
        <v>156</v>
      </c>
      <c r="G8" s="24" t="s">
        <v>224</v>
      </c>
      <c r="H8" s="1" t="s">
        <v>158</v>
      </c>
      <c r="I8" s="1" t="s">
        <v>11</v>
      </c>
      <c r="J8" s="1" t="s">
        <v>13</v>
      </c>
      <c r="K8" s="21" t="s">
        <v>225</v>
      </c>
      <c r="L8" s="21" t="s">
        <v>226</v>
      </c>
      <c r="M8" s="21" t="s">
        <v>227</v>
      </c>
      <c r="N8" s="21" t="s">
        <v>228</v>
      </c>
      <c r="O8" s="21" t="s">
        <v>229</v>
      </c>
      <c r="P8" s="24" t="s">
        <v>223</v>
      </c>
    </row>
    <row r="9" spans="1:16" x14ac:dyDescent="0.25">
      <c r="A9" s="1" t="s">
        <v>10</v>
      </c>
      <c r="B9" s="1" t="s">
        <v>177</v>
      </c>
      <c r="C9" s="1" t="s">
        <v>155</v>
      </c>
      <c r="D9" s="1" t="s">
        <v>178</v>
      </c>
      <c r="E9" s="1" t="s">
        <v>216</v>
      </c>
      <c r="F9" s="1" t="s">
        <v>156</v>
      </c>
      <c r="G9" s="24" t="s">
        <v>182</v>
      </c>
      <c r="H9" s="1" t="s">
        <v>175</v>
      </c>
      <c r="I9" s="1" t="s">
        <v>11</v>
      </c>
      <c r="J9" s="1" t="s">
        <v>11</v>
      </c>
      <c r="K9" s="21" t="s">
        <v>183</v>
      </c>
      <c r="L9" s="21" t="s">
        <v>184</v>
      </c>
      <c r="M9" s="21" t="s">
        <v>168</v>
      </c>
      <c r="N9" s="21" t="s">
        <v>185</v>
      </c>
      <c r="O9" s="21" t="s">
        <v>159</v>
      </c>
      <c r="P9" s="24" t="s">
        <v>210</v>
      </c>
    </row>
    <row r="10" spans="1:16" x14ac:dyDescent="0.25">
      <c r="A10" s="1" t="s">
        <v>10</v>
      </c>
      <c r="B10" s="1" t="s">
        <v>197</v>
      </c>
      <c r="C10" s="1" t="s">
        <v>162</v>
      </c>
      <c r="D10" s="1" t="s">
        <v>198</v>
      </c>
      <c r="E10" s="1" t="s">
        <v>217</v>
      </c>
      <c r="F10" s="1" t="s">
        <v>18</v>
      </c>
      <c r="G10" s="24" t="s">
        <v>199</v>
      </c>
      <c r="H10" s="1" t="s">
        <v>200</v>
      </c>
      <c r="I10" s="1" t="s">
        <v>13</v>
      </c>
      <c r="J10" s="1" t="s">
        <v>11</v>
      </c>
      <c r="K10" s="21" t="s">
        <v>168</v>
      </c>
      <c r="L10" s="21" t="s">
        <v>201</v>
      </c>
      <c r="M10" s="21" t="s">
        <v>167</v>
      </c>
      <c r="N10" s="21" t="s">
        <v>159</v>
      </c>
      <c r="O10" s="21" t="s">
        <v>190</v>
      </c>
      <c r="P10" s="24" t="s">
        <v>211</v>
      </c>
    </row>
    <row r="11" spans="1:16" x14ac:dyDescent="0.25">
      <c r="A11" s="1" t="s">
        <v>10</v>
      </c>
      <c r="B11" s="1" t="s">
        <v>165</v>
      </c>
      <c r="C11" s="1" t="s">
        <v>160</v>
      </c>
      <c r="D11" s="1" t="s">
        <v>169</v>
      </c>
      <c r="E11" s="1" t="s">
        <v>218</v>
      </c>
      <c r="F11" s="1" t="s">
        <v>156</v>
      </c>
      <c r="G11" s="24" t="s">
        <v>176</v>
      </c>
      <c r="H11" s="1" t="s">
        <v>170</v>
      </c>
      <c r="I11" s="1" t="s">
        <v>13</v>
      </c>
      <c r="J11" s="1" t="s">
        <v>13</v>
      </c>
      <c r="K11" s="21">
        <v>120000</v>
      </c>
      <c r="L11" s="21" t="s">
        <v>188</v>
      </c>
      <c r="M11" s="21" t="s">
        <v>202</v>
      </c>
      <c r="N11" s="21" t="s">
        <v>159</v>
      </c>
      <c r="O11" s="21" t="s">
        <v>203</v>
      </c>
      <c r="P11" s="24" t="s">
        <v>212</v>
      </c>
    </row>
    <row r="12" spans="1:16" x14ac:dyDescent="0.25">
      <c r="A12" s="1" t="s">
        <v>10</v>
      </c>
      <c r="B12" s="1" t="s">
        <v>179</v>
      </c>
      <c r="C12" s="1" t="s">
        <v>163</v>
      </c>
      <c r="D12" s="1" t="s">
        <v>191</v>
      </c>
      <c r="E12" s="1" t="s">
        <v>180</v>
      </c>
      <c r="F12" s="1" t="s">
        <v>156</v>
      </c>
      <c r="G12" s="24" t="s">
        <v>181</v>
      </c>
      <c r="H12" s="1" t="s">
        <v>158</v>
      </c>
      <c r="I12" s="1" t="s">
        <v>11</v>
      </c>
      <c r="J12" s="1" t="s">
        <v>11</v>
      </c>
      <c r="K12" s="21" t="s">
        <v>186</v>
      </c>
      <c r="L12" s="21" t="s">
        <v>166</v>
      </c>
      <c r="M12" s="21" t="s">
        <v>187</v>
      </c>
      <c r="N12" s="21" t="s">
        <v>166</v>
      </c>
      <c r="O12" s="21" t="s">
        <v>168</v>
      </c>
      <c r="P12" s="24" t="s">
        <v>213</v>
      </c>
    </row>
    <row r="13" spans="1:16" x14ac:dyDescent="0.25">
      <c r="A13" s="1" t="s">
        <v>10</v>
      </c>
      <c r="B13" s="1" t="s">
        <v>206</v>
      </c>
      <c r="C13" s="1" t="s">
        <v>155</v>
      </c>
      <c r="D13" s="1" t="s">
        <v>207</v>
      </c>
      <c r="E13" s="1" t="s">
        <v>219</v>
      </c>
      <c r="F13" s="1" t="s">
        <v>156</v>
      </c>
      <c r="G13" s="24">
        <v>20794</v>
      </c>
      <c r="H13" s="1" t="s">
        <v>208</v>
      </c>
      <c r="I13" s="1" t="s">
        <v>11</v>
      </c>
      <c r="J13" s="1" t="s">
        <v>13</v>
      </c>
      <c r="K13" s="21">
        <v>85000</v>
      </c>
      <c r="L13" s="21">
        <v>70000</v>
      </c>
      <c r="M13" s="21"/>
      <c r="N13" s="21"/>
      <c r="O13" s="21">
        <v>15000</v>
      </c>
      <c r="P13" s="24" t="s">
        <v>220</v>
      </c>
    </row>
    <row r="14" spans="1:16" x14ac:dyDescent="0.25">
      <c r="A14" s="1" t="s">
        <v>10</v>
      </c>
      <c r="B14" s="1" t="s">
        <v>173</v>
      </c>
      <c r="C14" s="1" t="s">
        <v>12</v>
      </c>
      <c r="D14" s="1" t="s">
        <v>174</v>
      </c>
      <c r="E14" s="1" t="s">
        <v>215</v>
      </c>
      <c r="F14" s="1" t="s">
        <v>18</v>
      </c>
      <c r="G14" s="24" t="s">
        <v>192</v>
      </c>
      <c r="H14" s="1"/>
      <c r="I14" s="1" t="s">
        <v>11</v>
      </c>
      <c r="J14" s="1" t="s">
        <v>13</v>
      </c>
      <c r="K14" s="21" t="s">
        <v>193</v>
      </c>
      <c r="L14" s="21" t="s">
        <v>194</v>
      </c>
      <c r="M14" s="21" t="s">
        <v>195</v>
      </c>
      <c r="N14" s="21" t="s">
        <v>190</v>
      </c>
      <c r="O14" s="21" t="s">
        <v>196</v>
      </c>
      <c r="P14" s="24" t="s">
        <v>214</v>
      </c>
    </row>
    <row r="15" spans="1:16" x14ac:dyDescent="0.25">
      <c r="A15" s="1"/>
      <c r="B15" s="1"/>
      <c r="C15" s="1"/>
      <c r="D15" s="1"/>
      <c r="E15" s="1"/>
      <c r="F15" s="1"/>
      <c r="G15" s="24"/>
      <c r="H15" s="1"/>
      <c r="I15" s="1"/>
      <c r="J15" s="1"/>
      <c r="K15" s="21"/>
      <c r="L15" s="21"/>
      <c r="M15" s="21"/>
      <c r="N15" s="21"/>
      <c r="O15" s="21"/>
      <c r="P15" s="24"/>
    </row>
    <row r="16" spans="1:16" x14ac:dyDescent="0.25">
      <c r="A16" s="1"/>
      <c r="B16" s="1"/>
      <c r="C16" s="1"/>
      <c r="D16" s="1"/>
      <c r="E16" s="1"/>
      <c r="F16" s="1"/>
      <c r="G16" s="24"/>
      <c r="H16" s="1"/>
      <c r="I16" s="1"/>
      <c r="J16" s="1"/>
      <c r="K16" s="21"/>
      <c r="L16" s="21"/>
      <c r="M16" s="21"/>
      <c r="N16" s="21"/>
      <c r="O16" s="21"/>
      <c r="P16" s="24"/>
    </row>
    <row r="17" spans="1:16" x14ac:dyDescent="0.25">
      <c r="A17" s="1"/>
      <c r="B17" s="1"/>
      <c r="C17" s="1"/>
      <c r="D17" s="1"/>
      <c r="E17" s="1"/>
      <c r="F17" s="1"/>
      <c r="G17" s="24"/>
      <c r="H17" s="1"/>
      <c r="I17" s="1"/>
      <c r="J17" s="1"/>
      <c r="K17" s="21"/>
      <c r="L17" s="21"/>
      <c r="M17" s="21"/>
      <c r="N17" s="21"/>
      <c r="O17" s="21"/>
      <c r="P17" s="24"/>
    </row>
    <row r="18" spans="1:16" x14ac:dyDescent="0.25">
      <c r="A18" s="1"/>
      <c r="B18" s="1"/>
      <c r="C18" s="1"/>
      <c r="D18" s="1"/>
      <c r="E18" s="1"/>
      <c r="F18" s="1"/>
      <c r="G18" s="24"/>
      <c r="H18" s="1"/>
      <c r="I18" s="1"/>
      <c r="J18" s="1"/>
      <c r="K18" s="21"/>
      <c r="L18" s="21"/>
      <c r="M18" s="21"/>
      <c r="N18" s="21"/>
      <c r="O18" s="21"/>
      <c r="P18" s="24"/>
    </row>
    <row r="19" spans="1:16" x14ac:dyDescent="0.25">
      <c r="A19" s="1"/>
      <c r="B19" s="1"/>
      <c r="C19" s="1"/>
      <c r="D19" s="1"/>
      <c r="E19" s="1"/>
      <c r="F19" s="1"/>
      <c r="G19" s="24"/>
      <c r="H19" s="1"/>
      <c r="I19" s="1"/>
      <c r="J19" s="1"/>
      <c r="K19" s="21"/>
      <c r="L19" s="21"/>
      <c r="M19" s="21"/>
      <c r="N19" s="21"/>
      <c r="O19" s="21"/>
      <c r="P19" s="24"/>
    </row>
    <row r="20" spans="1:16" x14ac:dyDescent="0.25">
      <c r="A20" s="1"/>
      <c r="B20" s="1"/>
      <c r="C20" s="1"/>
      <c r="D20" s="1"/>
      <c r="E20" s="1"/>
      <c r="F20" s="1"/>
      <c r="G20" s="24"/>
      <c r="H20" s="1"/>
      <c r="I20" s="1"/>
      <c r="J20" s="1"/>
      <c r="K20" s="21"/>
      <c r="L20" s="21"/>
      <c r="M20" s="21"/>
      <c r="N20" s="21"/>
      <c r="O20" s="21"/>
      <c r="P20" s="24"/>
    </row>
    <row r="21" spans="1:16" x14ac:dyDescent="0.25">
      <c r="A21" s="1"/>
      <c r="B21" s="1"/>
      <c r="C21" s="1"/>
      <c r="D21" s="1"/>
      <c r="E21" s="1"/>
      <c r="F21" s="1"/>
      <c r="G21" s="24"/>
      <c r="H21" s="1"/>
      <c r="I21" s="1"/>
      <c r="J21" s="1"/>
      <c r="K21" s="21"/>
      <c r="L21" s="21"/>
      <c r="M21" s="21"/>
      <c r="N21" s="21"/>
      <c r="O21" s="21"/>
      <c r="P21" s="24"/>
    </row>
    <row r="22" spans="1:16" x14ac:dyDescent="0.25">
      <c r="A22" s="1"/>
      <c r="B22" s="1"/>
      <c r="C22" s="1"/>
      <c r="D22" s="1"/>
      <c r="E22" s="1"/>
      <c r="F22" s="1"/>
      <c r="G22" s="24"/>
      <c r="H22" s="1"/>
      <c r="I22" s="1"/>
      <c r="J22" s="1"/>
      <c r="K22" s="21"/>
      <c r="L22" s="21"/>
      <c r="M22" s="21"/>
      <c r="N22" s="21"/>
      <c r="O22" s="21"/>
      <c r="P22" s="24"/>
    </row>
    <row r="23" spans="1:16" x14ac:dyDescent="0.25">
      <c r="A23" s="1"/>
      <c r="B23" s="1"/>
      <c r="C23" s="1"/>
      <c r="D23" s="1"/>
      <c r="E23" s="1"/>
      <c r="F23" s="1"/>
      <c r="G23" s="24"/>
      <c r="H23" s="1"/>
      <c r="I23" s="1"/>
      <c r="J23" s="1"/>
      <c r="K23" s="21"/>
      <c r="L23" s="21"/>
      <c r="M23" s="21"/>
      <c r="N23" s="21"/>
      <c r="O23" s="21"/>
      <c r="P23" s="24"/>
    </row>
    <row r="24" spans="1:16" x14ac:dyDescent="0.25">
      <c r="A24" s="1"/>
      <c r="B24" s="1"/>
      <c r="C24" s="1"/>
      <c r="D24" s="1"/>
      <c r="E24" s="1"/>
      <c r="F24" s="1"/>
      <c r="G24" s="24"/>
      <c r="H24" s="1"/>
      <c r="I24" s="1"/>
      <c r="J24" s="1"/>
      <c r="K24" s="21"/>
      <c r="L24" s="21"/>
      <c r="M24" s="21"/>
      <c r="N24" s="21"/>
      <c r="O24" s="21"/>
      <c r="P24" s="24"/>
    </row>
    <row r="25" spans="1:16" x14ac:dyDescent="0.25">
      <c r="A25" s="1"/>
      <c r="B25" s="1"/>
      <c r="C25" s="1"/>
      <c r="D25" s="1"/>
      <c r="E25" s="1"/>
      <c r="F25" s="1"/>
      <c r="G25" s="24"/>
      <c r="H25" s="1"/>
      <c r="I25" s="1"/>
      <c r="J25" s="1"/>
      <c r="K25" s="21"/>
      <c r="L25" s="21"/>
      <c r="M25" s="21"/>
      <c r="N25" s="21"/>
      <c r="O25" s="21"/>
      <c r="P25" s="24"/>
    </row>
    <row r="26" spans="1:16" x14ac:dyDescent="0.25">
      <c r="A26" s="1"/>
      <c r="B26" s="1"/>
      <c r="C26" s="1"/>
      <c r="D26" s="1"/>
      <c r="E26" s="1"/>
      <c r="F26" s="1"/>
      <c r="G26" s="24"/>
      <c r="H26" s="1"/>
      <c r="I26" s="1"/>
      <c r="J26" s="1"/>
      <c r="K26" s="21"/>
      <c r="L26" s="21"/>
      <c r="M26" s="21"/>
      <c r="N26" s="21"/>
      <c r="O26" s="21"/>
      <c r="P26" s="24"/>
    </row>
    <row r="27" spans="1:16" x14ac:dyDescent="0.25">
      <c r="A27" s="1"/>
      <c r="B27" s="1"/>
      <c r="C27" s="1"/>
      <c r="D27" s="1"/>
      <c r="E27" s="1"/>
      <c r="F27" s="1"/>
      <c r="G27" s="24"/>
      <c r="H27" s="1"/>
      <c r="I27" s="1"/>
      <c r="J27" s="1"/>
      <c r="K27" s="21"/>
      <c r="L27" s="21"/>
      <c r="M27" s="21"/>
      <c r="N27" s="21"/>
      <c r="O27" s="21"/>
      <c r="P27" s="24"/>
    </row>
    <row r="28" spans="1:16" x14ac:dyDescent="0.25">
      <c r="A28" s="1"/>
      <c r="B28" s="1"/>
      <c r="C28" s="1"/>
      <c r="D28" s="1"/>
      <c r="E28" s="1"/>
      <c r="F28" s="1"/>
      <c r="G28" s="24"/>
      <c r="H28" s="1"/>
      <c r="I28" s="1"/>
      <c r="J28" s="1"/>
      <c r="K28" s="21"/>
      <c r="L28" s="21"/>
      <c r="M28" s="21"/>
      <c r="N28" s="21"/>
      <c r="O28" s="21"/>
      <c r="P28" s="24"/>
    </row>
    <row r="29" spans="1:16" x14ac:dyDescent="0.25">
      <c r="A29" s="1"/>
      <c r="B29" s="1"/>
      <c r="C29" s="1"/>
      <c r="D29" s="1"/>
      <c r="E29" s="1"/>
      <c r="F29" s="1"/>
      <c r="G29" s="24"/>
      <c r="H29" s="1"/>
      <c r="I29" s="1"/>
      <c r="J29" s="1"/>
      <c r="K29" s="21"/>
      <c r="L29" s="21"/>
      <c r="M29" s="21"/>
      <c r="N29" s="21"/>
      <c r="O29" s="21"/>
      <c r="P29" s="24"/>
    </row>
    <row r="30" spans="1:16" x14ac:dyDescent="0.25">
      <c r="A30" s="1"/>
      <c r="B30" s="1"/>
      <c r="C30" s="1"/>
      <c r="D30" s="1"/>
      <c r="E30" s="1"/>
      <c r="F30" s="1"/>
      <c r="G30" s="24"/>
      <c r="H30" s="1"/>
      <c r="I30" s="1"/>
      <c r="J30" s="1"/>
      <c r="K30" s="21"/>
      <c r="L30" s="21"/>
      <c r="M30" s="21"/>
      <c r="N30" s="21"/>
      <c r="O30" s="21"/>
      <c r="P30" s="24"/>
    </row>
    <row r="31" spans="1:16" x14ac:dyDescent="0.25">
      <c r="A31" s="1"/>
      <c r="B31" s="1"/>
      <c r="C31" s="1"/>
      <c r="D31" s="1"/>
      <c r="E31" s="1"/>
      <c r="F31" s="1"/>
      <c r="G31" s="24"/>
      <c r="H31" s="1"/>
      <c r="I31" s="1"/>
      <c r="J31" s="1"/>
      <c r="K31" s="21"/>
      <c r="L31" s="21"/>
      <c r="M31" s="21"/>
      <c r="N31" s="21"/>
      <c r="O31" s="21"/>
      <c r="P31" s="24"/>
    </row>
    <row r="32" spans="1:16" x14ac:dyDescent="0.25">
      <c r="A32" s="1"/>
      <c r="B32" s="1"/>
      <c r="C32" s="1"/>
      <c r="D32" s="1"/>
      <c r="E32" s="1"/>
      <c r="F32" s="1"/>
      <c r="G32" s="24"/>
      <c r="H32" s="1"/>
      <c r="I32" s="1"/>
      <c r="J32" s="1"/>
      <c r="K32" s="21"/>
      <c r="L32" s="21"/>
      <c r="M32" s="21"/>
      <c r="N32" s="21"/>
      <c r="O32" s="21"/>
      <c r="P32" s="24"/>
    </row>
    <row r="33" spans="1:16" x14ac:dyDescent="0.25">
      <c r="A33" s="1"/>
      <c r="B33" s="1"/>
      <c r="C33" s="1"/>
      <c r="D33" s="1"/>
      <c r="E33" s="1"/>
      <c r="F33" s="1"/>
      <c r="G33" s="24"/>
      <c r="H33" s="1"/>
      <c r="I33" s="1"/>
      <c r="J33" s="1"/>
      <c r="K33" s="21"/>
      <c r="L33" s="21"/>
      <c r="M33" s="21"/>
      <c r="N33" s="21"/>
      <c r="O33" s="21"/>
      <c r="P33" s="24"/>
    </row>
    <row r="34" spans="1:16" x14ac:dyDescent="0.25">
      <c r="A34" s="1"/>
      <c r="B34" s="1"/>
      <c r="C34" s="1"/>
      <c r="D34" s="1"/>
      <c r="E34" s="1"/>
      <c r="F34" s="1"/>
      <c r="G34" s="24"/>
      <c r="H34" s="1"/>
      <c r="I34" s="1"/>
      <c r="J34" s="1"/>
      <c r="K34" s="21"/>
      <c r="L34" s="21"/>
      <c r="M34" s="21"/>
      <c r="N34" s="21"/>
      <c r="O34" s="21"/>
      <c r="P34" s="24"/>
    </row>
  </sheetData>
  <sortState xmlns:xlrd2="http://schemas.microsoft.com/office/spreadsheetml/2017/richdata2" ref="B7:BB14">
    <sortCondition ref="B7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BBCB-E1B9-4D01-9EDD-FC5D8EF793CA}">
  <sheetPr codeName="Sheet4"/>
  <dimension ref="A1:F134"/>
  <sheetViews>
    <sheetView zoomScaleNormal="100" workbookViewId="0">
      <selection activeCell="C7" sqref="C7"/>
    </sheetView>
  </sheetViews>
  <sheetFormatPr defaultColWidth="9" defaultRowHeight="12.75" x14ac:dyDescent="0.2"/>
  <cols>
    <col min="1" max="1" width="14" style="16" customWidth="1"/>
    <col min="2" max="2" width="12" style="17" customWidth="1"/>
    <col min="3" max="3" width="26" style="12" customWidth="1"/>
    <col min="4" max="16384" width="9" style="12"/>
  </cols>
  <sheetData>
    <row r="1" spans="1:6" s="8" customFormat="1" x14ac:dyDescent="0.2">
      <c r="A1" s="5" t="s">
        <v>19</v>
      </c>
      <c r="B1" s="6" t="s">
        <v>20</v>
      </c>
      <c r="C1" s="7" t="s">
        <v>21</v>
      </c>
      <c r="D1" s="7"/>
      <c r="E1" s="7"/>
      <c r="F1" s="7"/>
    </row>
    <row r="2" spans="1:6" ht="25.5" x14ac:dyDescent="0.2">
      <c r="A2" s="9" t="s">
        <v>22</v>
      </c>
      <c r="B2" s="10">
        <v>5.2999999999999999E-2</v>
      </c>
      <c r="C2" s="11" t="str">
        <f>_xlfn.CONCAT(A2&amp;" - "&amp;TEXT(B2,"0.00%"))</f>
        <v>Accomack County - 5.30%</v>
      </c>
    </row>
    <row r="3" spans="1:6" ht="25.5" x14ac:dyDescent="0.2">
      <c r="A3" s="9" t="s">
        <v>23</v>
      </c>
      <c r="B3" s="10">
        <v>5.2999999999999999E-2</v>
      </c>
      <c r="C3" s="11" t="str">
        <f t="shared" ref="C3:C66" si="0">_xlfn.CONCAT(A3&amp;" - "&amp;TEXT(B3,"0.00%"))</f>
        <v>Albemarle County - 5.30%</v>
      </c>
    </row>
    <row r="4" spans="1:6" ht="25.5" x14ac:dyDescent="0.2">
      <c r="A4" s="9" t="s">
        <v>24</v>
      </c>
      <c r="B4" s="10">
        <v>5.2999999999999999E-2</v>
      </c>
      <c r="C4" s="11" t="str">
        <f t="shared" si="0"/>
        <v>Alleghany County - 5.30%</v>
      </c>
    </row>
    <row r="5" spans="1:6" x14ac:dyDescent="0.2">
      <c r="A5" s="9" t="s">
        <v>25</v>
      </c>
      <c r="B5" s="10">
        <v>5.2999999999999999E-2</v>
      </c>
      <c r="C5" s="11" t="str">
        <f t="shared" si="0"/>
        <v>Amelia County - 5.30%</v>
      </c>
    </row>
    <row r="6" spans="1:6" x14ac:dyDescent="0.2">
      <c r="A6" s="9" t="s">
        <v>26</v>
      </c>
      <c r="B6" s="10">
        <v>5.2999999999999999E-2</v>
      </c>
      <c r="C6" s="11" t="str">
        <f t="shared" si="0"/>
        <v>Amherst County - 5.30%</v>
      </c>
    </row>
    <row r="7" spans="1:6" ht="25.5" x14ac:dyDescent="0.2">
      <c r="A7" s="9" t="s">
        <v>27</v>
      </c>
      <c r="B7" s="10">
        <v>5.2999999999999999E-2</v>
      </c>
      <c r="C7" s="11" t="str">
        <f t="shared" si="0"/>
        <v>Appomattox County - 5.30%</v>
      </c>
    </row>
    <row r="8" spans="1:6" ht="25.5" x14ac:dyDescent="0.2">
      <c r="A8" s="9" t="s">
        <v>28</v>
      </c>
      <c r="B8" s="10">
        <v>0.06</v>
      </c>
      <c r="C8" s="11" t="str">
        <f t="shared" si="0"/>
        <v>Arlington County - 6.00%</v>
      </c>
    </row>
    <row r="9" spans="1:6" x14ac:dyDescent="0.2">
      <c r="A9" s="9" t="s">
        <v>29</v>
      </c>
      <c r="B9" s="10">
        <v>5.2999999999999999E-2</v>
      </c>
      <c r="C9" s="11" t="str">
        <f t="shared" si="0"/>
        <v>Augusta County - 5.30%</v>
      </c>
    </row>
    <row r="10" spans="1:6" x14ac:dyDescent="0.2">
      <c r="A10" s="9" t="s">
        <v>30</v>
      </c>
      <c r="B10" s="10">
        <v>5.2999999999999999E-2</v>
      </c>
      <c r="C10" s="11" t="str">
        <f t="shared" si="0"/>
        <v>Bath County - 5.30%</v>
      </c>
    </row>
    <row r="11" spans="1:6" x14ac:dyDescent="0.2">
      <c r="A11" s="9" t="s">
        <v>31</v>
      </c>
      <c r="B11" s="10">
        <v>5.2999999999999999E-2</v>
      </c>
      <c r="C11" s="11" t="str">
        <f t="shared" si="0"/>
        <v>Bedford County - 5.30%</v>
      </c>
    </row>
    <row r="12" spans="1:6" x14ac:dyDescent="0.2">
      <c r="A12" s="9" t="s">
        <v>32</v>
      </c>
      <c r="B12" s="10">
        <v>5.2999999999999999E-2</v>
      </c>
      <c r="C12" s="11" t="str">
        <f t="shared" si="0"/>
        <v>Bland County - 5.30%</v>
      </c>
    </row>
    <row r="13" spans="1:6" ht="25.5" x14ac:dyDescent="0.2">
      <c r="A13" s="9" t="s">
        <v>33</v>
      </c>
      <c r="B13" s="10">
        <v>5.2999999999999999E-2</v>
      </c>
      <c r="C13" s="11" t="str">
        <f t="shared" si="0"/>
        <v>Botetourt County - 5.30%</v>
      </c>
    </row>
    <row r="14" spans="1:6" ht="25.5" x14ac:dyDescent="0.2">
      <c r="A14" s="9" t="s">
        <v>34</v>
      </c>
      <c r="B14" s="10">
        <v>5.2999999999999999E-2</v>
      </c>
      <c r="C14" s="11" t="str">
        <f t="shared" si="0"/>
        <v>Brunswick County - 5.30%</v>
      </c>
    </row>
    <row r="15" spans="1:6" ht="25.5" x14ac:dyDescent="0.2">
      <c r="A15" s="9" t="s">
        <v>35</v>
      </c>
      <c r="B15" s="10">
        <v>5.2999999999999999E-2</v>
      </c>
      <c r="C15" s="11" t="str">
        <f t="shared" si="0"/>
        <v>Buchanan County - 5.30%</v>
      </c>
    </row>
    <row r="16" spans="1:6" ht="25.5" x14ac:dyDescent="0.2">
      <c r="A16" s="9" t="s">
        <v>36</v>
      </c>
      <c r="B16" s="10">
        <v>5.2999999999999999E-2</v>
      </c>
      <c r="C16" s="11" t="str">
        <f t="shared" si="0"/>
        <v>Buckingham County - 5.30%</v>
      </c>
    </row>
    <row r="17" spans="1:3" ht="25.5" x14ac:dyDescent="0.2">
      <c r="A17" s="9" t="s">
        <v>37</v>
      </c>
      <c r="B17" s="10">
        <v>5.2999999999999999E-2</v>
      </c>
      <c r="C17" s="11" t="str">
        <f t="shared" si="0"/>
        <v>Campbell County - 5.30%</v>
      </c>
    </row>
    <row r="18" spans="1:3" x14ac:dyDescent="0.2">
      <c r="A18" s="9" t="s">
        <v>38</v>
      </c>
      <c r="B18" s="10">
        <v>5.2999999999999999E-2</v>
      </c>
      <c r="C18" s="11" t="str">
        <f t="shared" si="0"/>
        <v>Caroline County - 5.30%</v>
      </c>
    </row>
    <row r="19" spans="1:3" x14ac:dyDescent="0.2">
      <c r="A19" s="9" t="s">
        <v>39</v>
      </c>
      <c r="B19" s="10">
        <v>5.2999999999999999E-2</v>
      </c>
      <c r="C19" s="11" t="str">
        <f t="shared" si="0"/>
        <v>Carroll County - 5.30%</v>
      </c>
    </row>
    <row r="20" spans="1:3" ht="25.5" x14ac:dyDescent="0.2">
      <c r="A20" s="9" t="s">
        <v>40</v>
      </c>
      <c r="B20" s="10">
        <v>0.06</v>
      </c>
      <c r="C20" s="11" t="str">
        <f t="shared" si="0"/>
        <v>Charles City County - 6.00%</v>
      </c>
    </row>
    <row r="21" spans="1:3" ht="25.5" x14ac:dyDescent="0.2">
      <c r="A21" s="9" t="s">
        <v>41</v>
      </c>
      <c r="B21" s="10">
        <v>6.3E-2</v>
      </c>
      <c r="C21" s="11" t="str">
        <f t="shared" si="0"/>
        <v>Charlotte County - 6.30%</v>
      </c>
    </row>
    <row r="22" spans="1:3" ht="25.5" x14ac:dyDescent="0.2">
      <c r="A22" s="9" t="s">
        <v>42</v>
      </c>
      <c r="B22" s="10">
        <v>0.06</v>
      </c>
      <c r="C22" s="11" t="str">
        <f t="shared" si="0"/>
        <v>Chesterfield County - 6.00%</v>
      </c>
    </row>
    <row r="23" spans="1:3" x14ac:dyDescent="0.2">
      <c r="A23" s="9" t="s">
        <v>43</v>
      </c>
      <c r="B23" s="10">
        <v>5.2999999999999999E-2</v>
      </c>
      <c r="C23" s="11" t="str">
        <f t="shared" si="0"/>
        <v>Clarke County - 5.30%</v>
      </c>
    </row>
    <row r="24" spans="1:3" x14ac:dyDescent="0.2">
      <c r="A24" s="9" t="s">
        <v>44</v>
      </c>
      <c r="B24" s="10">
        <v>5.2999999999999999E-2</v>
      </c>
      <c r="C24" s="11" t="str">
        <f t="shared" si="0"/>
        <v>Craig County - 5.30%</v>
      </c>
    </row>
    <row r="25" spans="1:3" x14ac:dyDescent="0.2">
      <c r="A25" s="9" t="s">
        <v>45</v>
      </c>
      <c r="B25" s="10">
        <v>5.2999999999999999E-2</v>
      </c>
      <c r="C25" s="11" t="str">
        <f t="shared" si="0"/>
        <v>Culpeper County - 5.30%</v>
      </c>
    </row>
    <row r="26" spans="1:3" ht="25.5" x14ac:dyDescent="0.2">
      <c r="A26" s="9" t="s">
        <v>46</v>
      </c>
      <c r="B26" s="10">
        <v>5.2999999999999999E-2</v>
      </c>
      <c r="C26" s="11" t="str">
        <f t="shared" si="0"/>
        <v>Cumberland County - 5.30%</v>
      </c>
    </row>
    <row r="27" spans="1:3" ht="25.5" x14ac:dyDescent="0.2">
      <c r="A27" s="9" t="s">
        <v>47</v>
      </c>
      <c r="B27" s="10">
        <v>5.2999999999999999E-2</v>
      </c>
      <c r="C27" s="11" t="str">
        <f t="shared" si="0"/>
        <v>Dickenson County - 5.30%</v>
      </c>
    </row>
    <row r="28" spans="1:3" ht="25.5" x14ac:dyDescent="0.2">
      <c r="A28" s="9" t="s">
        <v>48</v>
      </c>
      <c r="B28" s="10">
        <v>5.2999999999999999E-2</v>
      </c>
      <c r="C28" s="11" t="str">
        <f t="shared" si="0"/>
        <v>Dinwiddie County - 5.30%</v>
      </c>
    </row>
    <row r="29" spans="1:3" x14ac:dyDescent="0.2">
      <c r="A29" s="9" t="s">
        <v>49</v>
      </c>
      <c r="B29" s="10">
        <v>5.2999999999999999E-2</v>
      </c>
      <c r="C29" s="11" t="str">
        <f t="shared" si="0"/>
        <v>Essex County - 5.30%</v>
      </c>
    </row>
    <row r="30" spans="1:3" x14ac:dyDescent="0.2">
      <c r="A30" s="9" t="s">
        <v>50</v>
      </c>
      <c r="B30" s="10">
        <v>0.06</v>
      </c>
      <c r="C30" s="11" t="str">
        <f t="shared" si="0"/>
        <v>Fairfax County - 6.00%</v>
      </c>
    </row>
    <row r="31" spans="1:3" x14ac:dyDescent="0.2">
      <c r="A31" s="9" t="s">
        <v>51</v>
      </c>
      <c r="B31" s="10">
        <v>5.2999999999999999E-2</v>
      </c>
      <c r="C31" s="11" t="str">
        <f t="shared" si="0"/>
        <v>Fauquier County - 5.30%</v>
      </c>
    </row>
    <row r="32" spans="1:3" x14ac:dyDescent="0.2">
      <c r="A32" s="9" t="s">
        <v>52</v>
      </c>
      <c r="B32" s="10">
        <v>5.2999999999999999E-2</v>
      </c>
      <c r="C32" s="11" t="str">
        <f t="shared" si="0"/>
        <v>Floyd County - 5.30%</v>
      </c>
    </row>
    <row r="33" spans="1:3" ht="25.5" x14ac:dyDescent="0.2">
      <c r="A33" s="9" t="s">
        <v>53</v>
      </c>
      <c r="B33" s="10">
        <v>5.2999999999999999E-2</v>
      </c>
      <c r="C33" s="11" t="str">
        <f t="shared" si="0"/>
        <v>Fluvanna County - 5.30%</v>
      </c>
    </row>
    <row r="34" spans="1:3" x14ac:dyDescent="0.2">
      <c r="A34" s="9" t="s">
        <v>54</v>
      </c>
      <c r="B34" s="10">
        <v>5.2999999999999999E-2</v>
      </c>
      <c r="C34" s="11" t="str">
        <f t="shared" si="0"/>
        <v>Franklin County - 5.30%</v>
      </c>
    </row>
    <row r="35" spans="1:3" ht="25.5" x14ac:dyDescent="0.2">
      <c r="A35" s="9" t="s">
        <v>55</v>
      </c>
      <c r="B35" s="10">
        <v>5.2999999999999999E-2</v>
      </c>
      <c r="C35" s="11" t="str">
        <f t="shared" si="0"/>
        <v>Frederick County - 5.30%</v>
      </c>
    </row>
    <row r="36" spans="1:3" x14ac:dyDescent="0.2">
      <c r="A36" s="9" t="s">
        <v>56</v>
      </c>
      <c r="B36" s="10">
        <v>5.2999999999999999E-2</v>
      </c>
      <c r="C36" s="11" t="str">
        <f t="shared" si="0"/>
        <v>Giles County - 5.30%</v>
      </c>
    </row>
    <row r="37" spans="1:3" ht="25.5" x14ac:dyDescent="0.2">
      <c r="A37" s="9" t="s">
        <v>57</v>
      </c>
      <c r="B37" s="10">
        <v>6.3E-2</v>
      </c>
      <c r="C37" s="11" t="str">
        <f t="shared" si="0"/>
        <v>Gloucester County - 6.30%</v>
      </c>
    </row>
    <row r="38" spans="1:3" ht="25.5" x14ac:dyDescent="0.2">
      <c r="A38" s="9" t="s">
        <v>58</v>
      </c>
      <c r="B38" s="10">
        <v>0.06</v>
      </c>
      <c r="C38" s="11" t="str">
        <f t="shared" si="0"/>
        <v>Goochland County - 6.00%</v>
      </c>
    </row>
    <row r="39" spans="1:3" x14ac:dyDescent="0.2">
      <c r="A39" s="9" t="s">
        <v>59</v>
      </c>
      <c r="B39" s="10">
        <v>5.2999999999999999E-2</v>
      </c>
      <c r="C39" s="11" t="str">
        <f t="shared" si="0"/>
        <v>Grayson County - 5.30%</v>
      </c>
    </row>
    <row r="40" spans="1:3" x14ac:dyDescent="0.2">
      <c r="A40" s="9" t="s">
        <v>60</v>
      </c>
      <c r="B40" s="10">
        <v>5.2999999999999999E-2</v>
      </c>
      <c r="C40" s="11" t="str">
        <f t="shared" si="0"/>
        <v>Greene County - 5.30%</v>
      </c>
    </row>
    <row r="41" spans="1:3" ht="25.5" x14ac:dyDescent="0.2">
      <c r="A41" s="9" t="s">
        <v>61</v>
      </c>
      <c r="B41" s="10">
        <v>5.2999999999999999E-2</v>
      </c>
      <c r="C41" s="11" t="str">
        <f t="shared" si="0"/>
        <v>Greensville County - 5.30%</v>
      </c>
    </row>
    <row r="42" spans="1:3" x14ac:dyDescent="0.2">
      <c r="A42" s="9" t="s">
        <v>62</v>
      </c>
      <c r="B42" s="10">
        <v>6.3E-2</v>
      </c>
      <c r="C42" s="11" t="str">
        <f t="shared" si="0"/>
        <v>Halifax County - 6.30%</v>
      </c>
    </row>
    <row r="43" spans="1:3" x14ac:dyDescent="0.2">
      <c r="A43" s="9" t="s">
        <v>63</v>
      </c>
      <c r="B43" s="10">
        <v>0.06</v>
      </c>
      <c r="C43" s="11" t="str">
        <f t="shared" si="0"/>
        <v>Hanover County - 6.00%</v>
      </c>
    </row>
    <row r="44" spans="1:3" x14ac:dyDescent="0.2">
      <c r="A44" s="9" t="s">
        <v>64</v>
      </c>
      <c r="B44" s="10">
        <v>0.06</v>
      </c>
      <c r="C44" s="11" t="str">
        <f t="shared" si="0"/>
        <v>Henrico County - 6.00%</v>
      </c>
    </row>
    <row r="45" spans="1:3" x14ac:dyDescent="0.2">
      <c r="A45" s="9" t="s">
        <v>65</v>
      </c>
      <c r="B45" s="10">
        <v>6.3E-2</v>
      </c>
      <c r="C45" s="11" t="str">
        <f t="shared" si="0"/>
        <v>Henry County - 6.30%</v>
      </c>
    </row>
    <row r="46" spans="1:3" ht="25.5" x14ac:dyDescent="0.2">
      <c r="A46" s="9" t="s">
        <v>66</v>
      </c>
      <c r="B46" s="10">
        <v>5.2999999999999999E-2</v>
      </c>
      <c r="C46" s="11" t="str">
        <f t="shared" si="0"/>
        <v>Highland County - 5.30%</v>
      </c>
    </row>
    <row r="47" spans="1:3" ht="25.5" x14ac:dyDescent="0.2">
      <c r="A47" s="9" t="s">
        <v>67</v>
      </c>
      <c r="B47" s="10">
        <v>0.06</v>
      </c>
      <c r="C47" s="11" t="str">
        <f t="shared" si="0"/>
        <v>Isle of Wight County - 6.00%</v>
      </c>
    </row>
    <row r="48" spans="1:3" ht="25.5" x14ac:dyDescent="0.2">
      <c r="A48" s="9" t="s">
        <v>68</v>
      </c>
      <c r="B48" s="10">
        <v>6.9999999999999993E-2</v>
      </c>
      <c r="C48" s="11" t="str">
        <f t="shared" si="0"/>
        <v>James City County - 7.00%</v>
      </c>
    </row>
    <row r="49" spans="1:3" ht="25.5" x14ac:dyDescent="0.2">
      <c r="A49" s="9" t="s">
        <v>69</v>
      </c>
      <c r="B49" s="10">
        <v>5.2999999999999999E-2</v>
      </c>
      <c r="C49" s="11" t="str">
        <f t="shared" si="0"/>
        <v>King and Queen County - 5.30%</v>
      </c>
    </row>
    <row r="50" spans="1:3" ht="25.5" x14ac:dyDescent="0.2">
      <c r="A50" s="9" t="s">
        <v>70</v>
      </c>
      <c r="B50" s="10">
        <v>5.2999999999999999E-2</v>
      </c>
      <c r="C50" s="11" t="str">
        <f t="shared" si="0"/>
        <v>King George County - 5.30%</v>
      </c>
    </row>
    <row r="51" spans="1:3" ht="25.5" x14ac:dyDescent="0.2">
      <c r="A51" s="9" t="s">
        <v>71</v>
      </c>
      <c r="B51" s="10">
        <v>5.2999999999999999E-2</v>
      </c>
      <c r="C51" s="11" t="str">
        <f t="shared" si="0"/>
        <v>King William County - 5.30%</v>
      </c>
    </row>
    <row r="52" spans="1:3" ht="25.5" x14ac:dyDescent="0.2">
      <c r="A52" s="9" t="s">
        <v>72</v>
      </c>
      <c r="B52" s="10">
        <v>5.2999999999999999E-2</v>
      </c>
      <c r="C52" s="11" t="str">
        <f t="shared" si="0"/>
        <v>Lancaster County - 5.30%</v>
      </c>
    </row>
    <row r="53" spans="1:3" x14ac:dyDescent="0.2">
      <c r="A53" s="9" t="s">
        <v>73</v>
      </c>
      <c r="B53" s="10">
        <v>5.2999999999999999E-2</v>
      </c>
      <c r="C53" s="11" t="str">
        <f t="shared" si="0"/>
        <v>Lee County - 5.30%</v>
      </c>
    </row>
    <row r="54" spans="1:3" x14ac:dyDescent="0.2">
      <c r="A54" s="9" t="s">
        <v>74</v>
      </c>
      <c r="B54" s="10">
        <v>0.06</v>
      </c>
      <c r="C54" s="11" t="str">
        <f t="shared" si="0"/>
        <v>Loudoun County - 6.00%</v>
      </c>
    </row>
    <row r="55" spans="1:3" x14ac:dyDescent="0.2">
      <c r="A55" s="9" t="s">
        <v>75</v>
      </c>
      <c r="B55" s="10">
        <v>5.2999999999999999E-2</v>
      </c>
      <c r="C55" s="11" t="str">
        <f t="shared" si="0"/>
        <v>Louisa County - 5.30%</v>
      </c>
    </row>
    <row r="56" spans="1:3" ht="25.5" x14ac:dyDescent="0.2">
      <c r="A56" s="9" t="s">
        <v>76</v>
      </c>
      <c r="B56" s="10">
        <v>5.2999999999999999E-2</v>
      </c>
      <c r="C56" s="11" t="str">
        <f t="shared" si="0"/>
        <v>Lunenburg County - 5.30%</v>
      </c>
    </row>
    <row r="57" spans="1:3" x14ac:dyDescent="0.2">
      <c r="A57" s="9" t="s">
        <v>77</v>
      </c>
      <c r="B57" s="10">
        <v>5.2999999999999999E-2</v>
      </c>
      <c r="C57" s="11" t="str">
        <f t="shared" si="0"/>
        <v>Madison County - 5.30%</v>
      </c>
    </row>
    <row r="58" spans="1:3" ht="25.5" x14ac:dyDescent="0.2">
      <c r="A58" s="9" t="s">
        <v>78</v>
      </c>
      <c r="B58" s="10">
        <v>5.2999999999999999E-2</v>
      </c>
      <c r="C58" s="11" t="str">
        <f t="shared" si="0"/>
        <v>Mathews County - 5.30%</v>
      </c>
    </row>
    <row r="59" spans="1:3" ht="25.5" x14ac:dyDescent="0.2">
      <c r="A59" s="9" t="s">
        <v>79</v>
      </c>
      <c r="B59" s="10">
        <v>5.2999999999999999E-2</v>
      </c>
      <c r="C59" s="11" t="str">
        <f t="shared" si="0"/>
        <v>Mecklenburg County - 5.30%</v>
      </c>
    </row>
    <row r="60" spans="1:3" ht="25.5" x14ac:dyDescent="0.2">
      <c r="A60" s="9" t="s">
        <v>80</v>
      </c>
      <c r="B60" s="10">
        <v>5.2999999999999999E-2</v>
      </c>
      <c r="C60" s="11" t="str">
        <f t="shared" si="0"/>
        <v>Middlesex County - 5.30%</v>
      </c>
    </row>
    <row r="61" spans="1:3" ht="25.5" x14ac:dyDescent="0.2">
      <c r="A61" s="9" t="s">
        <v>81</v>
      </c>
      <c r="B61" s="10">
        <v>5.2999999999999999E-2</v>
      </c>
      <c r="C61" s="11" t="str">
        <f t="shared" si="0"/>
        <v>Montgomery County - 5.30%</v>
      </c>
    </row>
    <row r="62" spans="1:3" x14ac:dyDescent="0.2">
      <c r="A62" s="9" t="s">
        <v>82</v>
      </c>
      <c r="B62" s="10">
        <v>5.2999999999999999E-2</v>
      </c>
      <c r="C62" s="11" t="str">
        <f t="shared" si="0"/>
        <v>Nelson County - 5.30%</v>
      </c>
    </row>
    <row r="63" spans="1:3" ht="25.5" x14ac:dyDescent="0.2">
      <c r="A63" s="9" t="s">
        <v>83</v>
      </c>
      <c r="B63" s="10">
        <v>0.06</v>
      </c>
      <c r="C63" s="11" t="str">
        <f t="shared" si="0"/>
        <v>New Kent County - 6.00%</v>
      </c>
    </row>
    <row r="64" spans="1:3" ht="25.5" x14ac:dyDescent="0.2">
      <c r="A64" s="9" t="s">
        <v>84</v>
      </c>
      <c r="B64" s="10">
        <v>6.3E-2</v>
      </c>
      <c r="C64" s="11" t="str">
        <f t="shared" si="0"/>
        <v>Northampton County - 6.30%</v>
      </c>
    </row>
    <row r="65" spans="1:3" ht="25.5" x14ac:dyDescent="0.2">
      <c r="A65" s="9" t="s">
        <v>85</v>
      </c>
      <c r="B65" s="10">
        <v>5.2999999999999999E-2</v>
      </c>
      <c r="C65" s="11" t="str">
        <f t="shared" si="0"/>
        <v>Northumberland County - 5.30%</v>
      </c>
    </row>
    <row r="66" spans="1:3" ht="25.5" x14ac:dyDescent="0.2">
      <c r="A66" s="9" t="s">
        <v>86</v>
      </c>
      <c r="B66" s="10">
        <v>5.2999999999999999E-2</v>
      </c>
      <c r="C66" s="11" t="str">
        <f t="shared" si="0"/>
        <v>Nottoway County - 5.30%</v>
      </c>
    </row>
    <row r="67" spans="1:3" x14ac:dyDescent="0.2">
      <c r="A67" s="9" t="s">
        <v>87</v>
      </c>
      <c r="B67" s="10">
        <v>5.2999999999999999E-2</v>
      </c>
      <c r="C67" s="11" t="str">
        <f t="shared" ref="C67:C130" si="1">_xlfn.CONCAT(A67&amp;" - "&amp;TEXT(B67,"0.00%"))</f>
        <v>Orange County - 5.30%</v>
      </c>
    </row>
    <row r="68" spans="1:3" x14ac:dyDescent="0.2">
      <c r="A68" s="9" t="s">
        <v>88</v>
      </c>
      <c r="B68" s="10">
        <v>5.2999999999999999E-2</v>
      </c>
      <c r="C68" s="11" t="str">
        <f t="shared" si="1"/>
        <v>Page County - 5.30%</v>
      </c>
    </row>
    <row r="69" spans="1:3" x14ac:dyDescent="0.2">
      <c r="A69" s="9" t="s">
        <v>89</v>
      </c>
      <c r="B69" s="10">
        <v>6.3E-2</v>
      </c>
      <c r="C69" s="11" t="str">
        <f t="shared" si="1"/>
        <v>Patrick County - 6.30%</v>
      </c>
    </row>
    <row r="70" spans="1:3" ht="25.5" x14ac:dyDescent="0.2">
      <c r="A70" s="9" t="s">
        <v>90</v>
      </c>
      <c r="B70" s="10">
        <v>6.3E-2</v>
      </c>
      <c r="C70" s="11" t="str">
        <f t="shared" si="1"/>
        <v>Pittsylvania County - 6.30%</v>
      </c>
    </row>
    <row r="71" spans="1:3" ht="25.5" x14ac:dyDescent="0.2">
      <c r="A71" s="9" t="s">
        <v>91</v>
      </c>
      <c r="B71" s="10">
        <v>0.06</v>
      </c>
      <c r="C71" s="11" t="str">
        <f t="shared" si="1"/>
        <v>Powhatan County - 6.00%</v>
      </c>
    </row>
    <row r="72" spans="1:3" ht="25.5" x14ac:dyDescent="0.2">
      <c r="A72" s="9" t="s">
        <v>92</v>
      </c>
      <c r="B72" s="10">
        <v>5.2999999999999999E-2</v>
      </c>
      <c r="C72" s="11" t="str">
        <f t="shared" si="1"/>
        <v>Prince Edward County - 5.30%</v>
      </c>
    </row>
    <row r="73" spans="1:3" ht="25.5" x14ac:dyDescent="0.2">
      <c r="A73" s="9" t="s">
        <v>93</v>
      </c>
      <c r="B73" s="10">
        <v>5.2999999999999999E-2</v>
      </c>
      <c r="C73" s="11" t="str">
        <f t="shared" si="1"/>
        <v>Prince George County - 5.30%</v>
      </c>
    </row>
    <row r="74" spans="1:3" ht="25.5" x14ac:dyDescent="0.2">
      <c r="A74" s="9" t="s">
        <v>94</v>
      </c>
      <c r="B74" s="10">
        <v>0.06</v>
      </c>
      <c r="C74" s="11" t="str">
        <f t="shared" si="1"/>
        <v>Prince William County - 6.00%</v>
      </c>
    </row>
    <row r="75" spans="1:3" x14ac:dyDescent="0.2">
      <c r="A75" s="9" t="s">
        <v>95</v>
      </c>
      <c r="B75" s="10">
        <v>5.2999999999999999E-2</v>
      </c>
      <c r="C75" s="11" t="str">
        <f t="shared" si="1"/>
        <v>Pulaski County - 5.30%</v>
      </c>
    </row>
    <row r="76" spans="1:3" ht="25.5" x14ac:dyDescent="0.2">
      <c r="A76" s="9" t="s">
        <v>96</v>
      </c>
      <c r="B76" s="10">
        <v>5.2999999999999999E-2</v>
      </c>
      <c r="C76" s="11" t="str">
        <f t="shared" si="1"/>
        <v>Rappahannock County - 5.30%</v>
      </c>
    </row>
    <row r="77" spans="1:3" ht="25.5" x14ac:dyDescent="0.2">
      <c r="A77" s="9" t="s">
        <v>97</v>
      </c>
      <c r="B77" s="10">
        <v>5.2999999999999999E-2</v>
      </c>
      <c r="C77" s="11" t="str">
        <f t="shared" si="1"/>
        <v>Richmond County - 5.30%</v>
      </c>
    </row>
    <row r="78" spans="1:3" x14ac:dyDescent="0.2">
      <c r="A78" s="9" t="s">
        <v>98</v>
      </c>
      <c r="B78" s="10">
        <v>5.2999999999999999E-2</v>
      </c>
      <c r="C78" s="11" t="str">
        <f t="shared" si="1"/>
        <v>Roanoke County - 5.30%</v>
      </c>
    </row>
    <row r="79" spans="1:3" ht="25.5" x14ac:dyDescent="0.2">
      <c r="A79" s="9" t="s">
        <v>99</v>
      </c>
      <c r="B79" s="10">
        <v>5.2999999999999999E-2</v>
      </c>
      <c r="C79" s="11" t="str">
        <f t="shared" si="1"/>
        <v>Rockbridge County - 5.30%</v>
      </c>
    </row>
    <row r="80" spans="1:3" ht="25.5" x14ac:dyDescent="0.2">
      <c r="A80" s="9" t="s">
        <v>100</v>
      </c>
      <c r="B80" s="10">
        <v>5.2999999999999999E-2</v>
      </c>
      <c r="C80" s="11" t="str">
        <f t="shared" si="1"/>
        <v>Rockingham County - 5.30%</v>
      </c>
    </row>
    <row r="81" spans="1:3" x14ac:dyDescent="0.2">
      <c r="A81" s="9" t="s">
        <v>101</v>
      </c>
      <c r="B81" s="10">
        <v>5.2999999999999999E-2</v>
      </c>
      <c r="C81" s="11" t="str">
        <f t="shared" si="1"/>
        <v>Russell County - 5.30%</v>
      </c>
    </row>
    <row r="82" spans="1:3" x14ac:dyDescent="0.2">
      <c r="A82" s="9" t="s">
        <v>102</v>
      </c>
      <c r="B82" s="10">
        <v>5.2999999999999999E-2</v>
      </c>
      <c r="C82" s="11" t="str">
        <f t="shared" si="1"/>
        <v>Scott County - 5.30%</v>
      </c>
    </row>
    <row r="83" spans="1:3" ht="25.5" x14ac:dyDescent="0.2">
      <c r="A83" s="9" t="s">
        <v>103</v>
      </c>
      <c r="B83" s="10">
        <v>5.2999999999999999E-2</v>
      </c>
      <c r="C83" s="11" t="str">
        <f t="shared" si="1"/>
        <v>Shenandoah County - 5.30%</v>
      </c>
    </row>
    <row r="84" spans="1:3" x14ac:dyDescent="0.2">
      <c r="A84" s="9" t="s">
        <v>104</v>
      </c>
      <c r="B84" s="10">
        <v>5.2999999999999999E-2</v>
      </c>
      <c r="C84" s="11" t="str">
        <f t="shared" si="1"/>
        <v>Smyth County - 5.30%</v>
      </c>
    </row>
    <row r="85" spans="1:3" ht="25.5" x14ac:dyDescent="0.2">
      <c r="A85" s="9" t="s">
        <v>105</v>
      </c>
      <c r="B85" s="10">
        <v>0.06</v>
      </c>
      <c r="C85" s="11" t="str">
        <f t="shared" si="1"/>
        <v>Southampton County - 6.00%</v>
      </c>
    </row>
    <row r="86" spans="1:3" ht="25.5" x14ac:dyDescent="0.2">
      <c r="A86" s="9" t="s">
        <v>106</v>
      </c>
      <c r="B86" s="10">
        <v>5.2999999999999999E-2</v>
      </c>
      <c r="C86" s="11" t="str">
        <f t="shared" si="1"/>
        <v>Spotsylvania County - 5.30%</v>
      </c>
    </row>
    <row r="87" spans="1:3" x14ac:dyDescent="0.2">
      <c r="A87" s="9" t="s">
        <v>107</v>
      </c>
      <c r="B87" s="10">
        <v>5.2999999999999999E-2</v>
      </c>
      <c r="C87" s="11" t="str">
        <f t="shared" si="1"/>
        <v>Stafford County - 5.30%</v>
      </c>
    </row>
    <row r="88" spans="1:3" x14ac:dyDescent="0.2">
      <c r="A88" s="9" t="s">
        <v>108</v>
      </c>
      <c r="B88" s="10">
        <v>5.2999999999999999E-2</v>
      </c>
      <c r="C88" s="11" t="str">
        <f t="shared" si="1"/>
        <v>Surry County - 5.30%</v>
      </c>
    </row>
    <row r="89" spans="1:3" x14ac:dyDescent="0.2">
      <c r="A89" s="9" t="s">
        <v>109</v>
      </c>
      <c r="B89" s="10">
        <v>5.2999999999999999E-2</v>
      </c>
      <c r="C89" s="11" t="str">
        <f t="shared" si="1"/>
        <v>Sussex County - 5.30%</v>
      </c>
    </row>
    <row r="90" spans="1:3" x14ac:dyDescent="0.2">
      <c r="A90" s="9" t="s">
        <v>110</v>
      </c>
      <c r="B90" s="10">
        <v>5.2999999999999999E-2</v>
      </c>
      <c r="C90" s="11" t="str">
        <f t="shared" si="1"/>
        <v>Tazewell County - 5.30%</v>
      </c>
    </row>
    <row r="91" spans="1:3" x14ac:dyDescent="0.2">
      <c r="A91" s="9" t="s">
        <v>111</v>
      </c>
      <c r="B91" s="10">
        <v>5.2999999999999999E-2</v>
      </c>
      <c r="C91" s="11" t="str">
        <f t="shared" si="1"/>
        <v>Warren County - 5.30%</v>
      </c>
    </row>
    <row r="92" spans="1:3" ht="25.5" x14ac:dyDescent="0.2">
      <c r="A92" s="9" t="s">
        <v>112</v>
      </c>
      <c r="B92" s="10">
        <v>5.2999999999999999E-2</v>
      </c>
      <c r="C92" s="11" t="str">
        <f t="shared" si="1"/>
        <v>Washington County - 5.30%</v>
      </c>
    </row>
    <row r="93" spans="1:3" ht="25.5" x14ac:dyDescent="0.2">
      <c r="A93" s="9" t="s">
        <v>113</v>
      </c>
      <c r="B93" s="10">
        <v>5.2999999999999999E-2</v>
      </c>
      <c r="C93" s="11" t="str">
        <f t="shared" si="1"/>
        <v>Westmoreland County - 5.30%</v>
      </c>
    </row>
    <row r="94" spans="1:3" x14ac:dyDescent="0.2">
      <c r="A94" s="9" t="s">
        <v>114</v>
      </c>
      <c r="B94" s="10">
        <v>5.2999999999999999E-2</v>
      </c>
      <c r="C94" s="11" t="str">
        <f t="shared" si="1"/>
        <v>Wise County - 5.30%</v>
      </c>
    </row>
    <row r="95" spans="1:3" x14ac:dyDescent="0.2">
      <c r="A95" s="9" t="s">
        <v>115</v>
      </c>
      <c r="B95" s="10">
        <v>5.2999999999999999E-2</v>
      </c>
      <c r="C95" s="11" t="str">
        <f t="shared" si="1"/>
        <v>Wythe County - 5.30%</v>
      </c>
    </row>
    <row r="96" spans="1:3" x14ac:dyDescent="0.2">
      <c r="A96" s="9" t="s">
        <v>116</v>
      </c>
      <c r="B96" s="10">
        <v>6.9999999999999993E-2</v>
      </c>
      <c r="C96" s="11" t="str">
        <f t="shared" si="1"/>
        <v>York County - 7.00%</v>
      </c>
    </row>
    <row r="97" spans="1:3" x14ac:dyDescent="0.2">
      <c r="A97" s="9" t="s">
        <v>117</v>
      </c>
      <c r="B97" s="10">
        <v>0.06</v>
      </c>
      <c r="C97" s="11" t="str">
        <f t="shared" si="1"/>
        <v>Alexandria City - 6.00%</v>
      </c>
    </row>
    <row r="98" spans="1:3" x14ac:dyDescent="0.2">
      <c r="A98" s="9" t="s">
        <v>118</v>
      </c>
      <c r="B98" s="10">
        <v>5.2999999999999999E-2</v>
      </c>
      <c r="C98" s="11" t="str">
        <f t="shared" si="1"/>
        <v>Bristol City - 5.30%</v>
      </c>
    </row>
    <row r="99" spans="1:3" x14ac:dyDescent="0.2">
      <c r="A99" s="9" t="s">
        <v>119</v>
      </c>
      <c r="B99" s="10">
        <v>5.2999999999999999E-2</v>
      </c>
      <c r="C99" s="11" t="str">
        <f t="shared" si="1"/>
        <v>Buena Vista City - 5.30%</v>
      </c>
    </row>
    <row r="100" spans="1:3" ht="25.5" x14ac:dyDescent="0.2">
      <c r="A100" s="9" t="s">
        <v>120</v>
      </c>
      <c r="B100" s="10">
        <v>5.2999999999999999E-2</v>
      </c>
      <c r="C100" s="11" t="str">
        <f t="shared" si="1"/>
        <v>Charlottesville City - 5.30%</v>
      </c>
    </row>
    <row r="101" spans="1:3" x14ac:dyDescent="0.2">
      <c r="A101" s="9" t="s">
        <v>121</v>
      </c>
      <c r="B101" s="10">
        <v>0.06</v>
      </c>
      <c r="C101" s="11" t="str">
        <f t="shared" si="1"/>
        <v>Chesapeake City - 6.00%</v>
      </c>
    </row>
    <row r="102" spans="1:3" ht="25.5" x14ac:dyDescent="0.2">
      <c r="A102" s="9" t="s">
        <v>122</v>
      </c>
      <c r="B102" s="10">
        <v>5.2999999999999999E-2</v>
      </c>
      <c r="C102" s="11" t="str">
        <f t="shared" si="1"/>
        <v>Colonial Heights City - 5.30%</v>
      </c>
    </row>
    <row r="103" spans="1:3" x14ac:dyDescent="0.2">
      <c r="A103" s="9" t="s">
        <v>123</v>
      </c>
      <c r="B103" s="10">
        <v>5.2999999999999999E-2</v>
      </c>
      <c r="C103" s="11" t="str">
        <f t="shared" si="1"/>
        <v>Covington City - 5.30%</v>
      </c>
    </row>
    <row r="104" spans="1:3" x14ac:dyDescent="0.2">
      <c r="A104" s="9" t="s">
        <v>124</v>
      </c>
      <c r="B104" s="10">
        <v>6.3E-2</v>
      </c>
      <c r="C104" s="11" t="str">
        <f t="shared" si="1"/>
        <v>Danville City - 6.30%</v>
      </c>
    </row>
    <row r="105" spans="1:3" x14ac:dyDescent="0.2">
      <c r="A105" s="9" t="s">
        <v>125</v>
      </c>
      <c r="B105" s="10">
        <v>5.2999999999999999E-2</v>
      </c>
      <c r="C105" s="11" t="str">
        <f t="shared" si="1"/>
        <v>Emporia City - 5.30%</v>
      </c>
    </row>
    <row r="106" spans="1:3" x14ac:dyDescent="0.2">
      <c r="A106" s="9" t="s">
        <v>126</v>
      </c>
      <c r="B106" s="10">
        <v>0.06</v>
      </c>
      <c r="C106" s="11" t="str">
        <f t="shared" si="1"/>
        <v>Fairfax City - 6.00%</v>
      </c>
    </row>
    <row r="107" spans="1:3" ht="25.5" x14ac:dyDescent="0.2">
      <c r="A107" s="9" t="s">
        <v>127</v>
      </c>
      <c r="B107" s="10">
        <v>0.06</v>
      </c>
      <c r="C107" s="11" t="str">
        <f t="shared" si="1"/>
        <v>Falls Church City - 6.00%</v>
      </c>
    </row>
    <row r="108" spans="1:3" x14ac:dyDescent="0.2">
      <c r="A108" s="9" t="s">
        <v>128</v>
      </c>
      <c r="B108" s="10">
        <v>0.06</v>
      </c>
      <c r="C108" s="11" t="str">
        <f t="shared" si="1"/>
        <v>Franklin City - 6.00%</v>
      </c>
    </row>
    <row r="109" spans="1:3" ht="25.5" x14ac:dyDescent="0.2">
      <c r="A109" s="9" t="s">
        <v>129</v>
      </c>
      <c r="B109" s="10">
        <v>5.2999999999999999E-2</v>
      </c>
      <c r="C109" s="11" t="str">
        <f t="shared" si="1"/>
        <v>Fredericksburg City - 5.30%</v>
      </c>
    </row>
    <row r="110" spans="1:3" x14ac:dyDescent="0.2">
      <c r="A110" s="9" t="s">
        <v>130</v>
      </c>
      <c r="B110" s="10">
        <v>5.2999999999999999E-2</v>
      </c>
      <c r="C110" s="11" t="str">
        <f t="shared" si="1"/>
        <v>Galax City - 5.30%</v>
      </c>
    </row>
    <row r="111" spans="1:3" x14ac:dyDescent="0.2">
      <c r="A111" s="9" t="s">
        <v>131</v>
      </c>
      <c r="B111" s="10">
        <v>0.06</v>
      </c>
      <c r="C111" s="11" t="str">
        <f t="shared" si="1"/>
        <v>Hampton City - 6.00%</v>
      </c>
    </row>
    <row r="112" spans="1:3" ht="25.5" x14ac:dyDescent="0.2">
      <c r="A112" s="9" t="s">
        <v>132</v>
      </c>
      <c r="B112" s="10">
        <v>5.2999999999999999E-2</v>
      </c>
      <c r="C112" s="11" t="str">
        <f t="shared" si="1"/>
        <v>Harrisonburg City - 5.30%</v>
      </c>
    </row>
    <row r="113" spans="1:3" x14ac:dyDescent="0.2">
      <c r="A113" s="9" t="s">
        <v>133</v>
      </c>
      <c r="B113" s="10">
        <v>5.2999999999999999E-2</v>
      </c>
      <c r="C113" s="11" t="str">
        <f t="shared" si="1"/>
        <v>Hopewell City - 5.30%</v>
      </c>
    </row>
    <row r="114" spans="1:3" x14ac:dyDescent="0.2">
      <c r="A114" s="9" t="s">
        <v>134</v>
      </c>
      <c r="B114" s="10">
        <v>5.2999999999999999E-2</v>
      </c>
      <c r="C114" s="11" t="str">
        <f t="shared" si="1"/>
        <v>Lexington City - 5.30%</v>
      </c>
    </row>
    <row r="115" spans="1:3" x14ac:dyDescent="0.2">
      <c r="A115" s="9" t="s">
        <v>135</v>
      </c>
      <c r="B115" s="10">
        <v>5.2999999999999999E-2</v>
      </c>
      <c r="C115" s="11" t="str">
        <f t="shared" si="1"/>
        <v>Lynchburg City - 5.30%</v>
      </c>
    </row>
    <row r="116" spans="1:3" x14ac:dyDescent="0.2">
      <c r="A116" s="9" t="s">
        <v>136</v>
      </c>
      <c r="B116" s="10">
        <v>0.06</v>
      </c>
      <c r="C116" s="11" t="str">
        <f t="shared" si="1"/>
        <v>Manassas City - 6.00%</v>
      </c>
    </row>
    <row r="117" spans="1:3" ht="25.5" x14ac:dyDescent="0.2">
      <c r="A117" s="9" t="s">
        <v>137</v>
      </c>
      <c r="B117" s="10">
        <v>0.06</v>
      </c>
      <c r="C117" s="11" t="str">
        <f t="shared" si="1"/>
        <v>Manassas Park City - 6.00%</v>
      </c>
    </row>
    <row r="118" spans="1:3" ht="25.5" x14ac:dyDescent="0.2">
      <c r="A118" s="9" t="s">
        <v>138</v>
      </c>
      <c r="B118" s="10">
        <v>5.2999999999999999E-2</v>
      </c>
      <c r="C118" s="11" t="str">
        <f t="shared" si="1"/>
        <v>Martinsville City - 5.30%</v>
      </c>
    </row>
    <row r="119" spans="1:3" ht="25.5" x14ac:dyDescent="0.2">
      <c r="A119" s="9" t="s">
        <v>139</v>
      </c>
      <c r="B119" s="10">
        <v>0.06</v>
      </c>
      <c r="C119" s="11" t="str">
        <f t="shared" si="1"/>
        <v>Newport News City - 6.00%</v>
      </c>
    </row>
    <row r="120" spans="1:3" x14ac:dyDescent="0.2">
      <c r="A120" s="9" t="s">
        <v>140</v>
      </c>
      <c r="B120" s="10">
        <v>0.06</v>
      </c>
      <c r="C120" s="11" t="str">
        <f t="shared" si="1"/>
        <v>Norfolk City - 6.00%</v>
      </c>
    </row>
    <row r="121" spans="1:3" x14ac:dyDescent="0.2">
      <c r="A121" s="9" t="s">
        <v>141</v>
      </c>
      <c r="B121" s="10">
        <v>5.2999999999999999E-2</v>
      </c>
      <c r="C121" s="11" t="str">
        <f t="shared" si="1"/>
        <v>Norton City - 5.30%</v>
      </c>
    </row>
    <row r="122" spans="1:3" x14ac:dyDescent="0.2">
      <c r="A122" s="9" t="s">
        <v>142</v>
      </c>
      <c r="B122" s="10">
        <v>5.2999999999999999E-2</v>
      </c>
      <c r="C122" s="11" t="str">
        <f t="shared" si="1"/>
        <v>Petersburg City - 5.30%</v>
      </c>
    </row>
    <row r="123" spans="1:3" x14ac:dyDescent="0.2">
      <c r="A123" s="9" t="s">
        <v>143</v>
      </c>
      <c r="B123" s="10">
        <v>0.06</v>
      </c>
      <c r="C123" s="11" t="str">
        <f t="shared" si="1"/>
        <v>Poquoson City - 6.00%</v>
      </c>
    </row>
    <row r="124" spans="1:3" x14ac:dyDescent="0.2">
      <c r="A124" s="9" t="s">
        <v>144</v>
      </c>
      <c r="B124" s="10">
        <v>0.06</v>
      </c>
      <c r="C124" s="11" t="str">
        <f t="shared" si="1"/>
        <v>Portsmouth City - 6.00%</v>
      </c>
    </row>
    <row r="125" spans="1:3" x14ac:dyDescent="0.2">
      <c r="A125" s="9" t="s">
        <v>145</v>
      </c>
      <c r="B125" s="10">
        <v>5.2999999999999999E-2</v>
      </c>
      <c r="C125" s="11" t="str">
        <f t="shared" si="1"/>
        <v>Radford City - 5.30%</v>
      </c>
    </row>
    <row r="126" spans="1:3" x14ac:dyDescent="0.2">
      <c r="A126" s="9" t="s">
        <v>146</v>
      </c>
      <c r="B126" s="10">
        <v>0.06</v>
      </c>
      <c r="C126" s="11" t="str">
        <f t="shared" si="1"/>
        <v>Richmond City - 6.00%</v>
      </c>
    </row>
    <row r="127" spans="1:3" x14ac:dyDescent="0.2">
      <c r="A127" s="9" t="s">
        <v>147</v>
      </c>
      <c r="B127" s="10">
        <v>5.2999999999999999E-2</v>
      </c>
      <c r="C127" s="11" t="str">
        <f t="shared" si="1"/>
        <v>Roanoke City - 5.30%</v>
      </c>
    </row>
    <row r="128" spans="1:3" x14ac:dyDescent="0.2">
      <c r="A128" s="9" t="s">
        <v>148</v>
      </c>
      <c r="B128" s="10">
        <v>5.2999999999999999E-2</v>
      </c>
      <c r="C128" s="11" t="str">
        <f t="shared" si="1"/>
        <v>Salem City - 5.30%</v>
      </c>
    </row>
    <row r="129" spans="1:3" x14ac:dyDescent="0.2">
      <c r="A129" s="9" t="s">
        <v>149</v>
      </c>
      <c r="B129" s="10">
        <v>5.2999999999999999E-2</v>
      </c>
      <c r="C129" s="11" t="str">
        <f t="shared" si="1"/>
        <v>Staunton City - 5.30%</v>
      </c>
    </row>
    <row r="130" spans="1:3" x14ac:dyDescent="0.2">
      <c r="A130" s="9" t="s">
        <v>150</v>
      </c>
      <c r="B130" s="10">
        <v>0.06</v>
      </c>
      <c r="C130" s="11" t="str">
        <f t="shared" si="1"/>
        <v>Suffolk City - 6.00%</v>
      </c>
    </row>
    <row r="131" spans="1:3" ht="25.5" x14ac:dyDescent="0.2">
      <c r="A131" s="9" t="s">
        <v>151</v>
      </c>
      <c r="B131" s="10">
        <v>0.06</v>
      </c>
      <c r="C131" s="11" t="str">
        <f t="shared" ref="C131:C134" si="2">_xlfn.CONCAT(A131&amp;" - "&amp;TEXT(B131,"0.00%"))</f>
        <v>Virginia Beach City - 6.00%</v>
      </c>
    </row>
    <row r="132" spans="1:3" ht="25.5" x14ac:dyDescent="0.2">
      <c r="A132" s="9" t="s">
        <v>152</v>
      </c>
      <c r="B132" s="10">
        <v>5.2999999999999999E-2</v>
      </c>
      <c r="C132" s="11" t="str">
        <f t="shared" si="2"/>
        <v>Waynesboro City - 5.30%</v>
      </c>
    </row>
    <row r="133" spans="1:3" ht="25.5" x14ac:dyDescent="0.2">
      <c r="A133" s="9" t="s">
        <v>153</v>
      </c>
      <c r="B133" s="10">
        <v>6.9999999999999993E-2</v>
      </c>
      <c r="C133" s="11" t="str">
        <f t="shared" si="2"/>
        <v>Williamsburg City - 7.00%</v>
      </c>
    </row>
    <row r="134" spans="1:3" x14ac:dyDescent="0.2">
      <c r="A134" s="13" t="s">
        <v>154</v>
      </c>
      <c r="B134" s="14">
        <v>5.2999999999999999E-2</v>
      </c>
      <c r="C134" s="15" t="str">
        <f t="shared" si="2"/>
        <v>Winchester City - 5.30%</v>
      </c>
    </row>
  </sheetData>
  <pageMargins left="1" right="1" top="0.75" bottom="0.75" header="0.3" footer="0.3"/>
  <pageSetup orientation="landscape" r:id="rId1"/>
  <headerFooter>
    <oddHeader>&amp;C&amp;"-,Bold"&amp;16 2020 VIRGINIA SALES AND USE TAX RATE TABLE</oddHeader>
    <oddFooter>&amp;Lrev. 10/1/20&amp;CPage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WIP</vt:lpstr>
      <vt:lpstr>VA  Counties</vt:lpstr>
      <vt:lpstr>goLookNew</vt:lpstr>
      <vt:lpstr>NameList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Pierola</dc:creator>
  <cp:lastModifiedBy>Anthony Pierola</cp:lastModifiedBy>
  <dcterms:created xsi:type="dcterms:W3CDTF">2023-12-21T22:37:23Z</dcterms:created>
  <dcterms:modified xsi:type="dcterms:W3CDTF">2024-02-21T16:32:22Z</dcterms:modified>
</cp:coreProperties>
</file>